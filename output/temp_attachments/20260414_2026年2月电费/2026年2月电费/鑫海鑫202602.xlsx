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25" activeTab="1"/>
  </bookViews>
  <sheets>
    <sheet name="鑫海盈印刷包装20261月" sheetId="48" r:id="rId1"/>
    <sheet name="鑫海盈印刷包装20262月" sheetId="50" r:id="rId2"/>
    <sheet name="每月汇总" sheetId="49" r:id="rId3"/>
  </sheets>
  <externalReferences>
    <externalReference r:id="rId4"/>
  </externalReferences>
  <definedNames>
    <definedName name="_xlnm.Print_Area" localSheetId="2">每月汇总!$A$1:$J$9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<sst xmlns="http://schemas.openxmlformats.org/spreadsheetml/2006/main" count="112" uniqueCount="49">
  <si>
    <t>深圳市鑫海盈印刷包装有限公司1月电费单</t>
  </si>
  <si>
    <t>正向数据</t>
  </si>
  <si>
    <t>反向数据</t>
  </si>
  <si>
    <t>实际用电数</t>
  </si>
  <si>
    <t>电价</t>
  </si>
  <si>
    <t>金额</t>
  </si>
  <si>
    <t>电表号</t>
  </si>
  <si>
    <t>类别</t>
  </si>
  <si>
    <t>上月表数</t>
  </si>
  <si>
    <t>本月表数</t>
  </si>
  <si>
    <t>电表用理</t>
  </si>
  <si>
    <t>倍率</t>
  </si>
  <si>
    <t>用电量</t>
  </si>
  <si>
    <t>上网表号</t>
  </si>
  <si>
    <r>
      <rPr>
        <sz val="11"/>
        <color rgb="FFFF0000"/>
        <rFont val="宋体"/>
        <charset val="134"/>
      </rPr>
      <t>用电户号</t>
    </r>
    <r>
      <rPr>
        <sz val="11"/>
        <color rgb="FFFF0000"/>
        <rFont val="Tahoma"/>
        <charset val="134"/>
      </rPr>
      <t>'0950000088022175</t>
    </r>
  </si>
  <si>
    <r>
      <rPr>
        <b/>
        <sz val="11"/>
        <rFont val="宋体"/>
        <charset val="134"/>
      </rPr>
      <t>用户号：</t>
    </r>
    <r>
      <rPr>
        <b/>
        <sz val="11"/>
        <rFont val="Times New Roman"/>
        <charset val="134"/>
      </rPr>
      <t>'0950000880022175</t>
    </r>
  </si>
  <si>
    <t>正有功尖峰1</t>
  </si>
  <si>
    <t>950050038400663</t>
  </si>
  <si>
    <t>资产号07348995</t>
  </si>
  <si>
    <t>正有功峰2</t>
  </si>
  <si>
    <t>上网电表：0950050038400663</t>
  </si>
  <si>
    <r>
      <rPr>
        <sz val="11"/>
        <color theme="1"/>
        <rFont val="宋体"/>
        <charset val="134"/>
      </rPr>
      <t>发电</t>
    </r>
    <r>
      <rPr>
        <sz val="11"/>
        <color theme="1"/>
        <rFont val="Tahoma"/>
        <charset val="134"/>
      </rPr>
      <t>'0950050038124248</t>
    </r>
  </si>
  <si>
    <t>正有功平</t>
  </si>
  <si>
    <t>上网电表资产表：09001SF00000041804265458</t>
  </si>
  <si>
    <t>正有功谷</t>
  </si>
  <si>
    <t>发电表号：0950050038124248</t>
  </si>
  <si>
    <t>正有功总</t>
  </si>
  <si>
    <t>发电资产号09001SF0000042207348995</t>
  </si>
  <si>
    <t>资产号'07348997</t>
  </si>
  <si>
    <t>0950050038475391</t>
  </si>
  <si>
    <t>用电户号0950000048227895</t>
  </si>
  <si>
    <t>发电0950050038007239</t>
  </si>
  <si>
    <t>上网电表：0950050038475391</t>
  </si>
  <si>
    <t>用户号：0950000048227895</t>
  </si>
  <si>
    <t>上网电表资产表：09001SF00000042107007793</t>
  </si>
  <si>
    <t>发电表号：0950050038007239</t>
  </si>
  <si>
    <t>合计</t>
  </si>
  <si>
    <t>发电资产号09001SF00000042207348997</t>
  </si>
  <si>
    <t>9.8折，折后价：</t>
  </si>
  <si>
    <t>深圳市鑫海盈印刷包装有限公司2月电费单</t>
  </si>
  <si>
    <t>2026年1月深圳市鑫海盈印刷包装有限公司电费单</t>
  </si>
  <si>
    <t>用户号</t>
  </si>
  <si>
    <t>发电表号</t>
  </si>
  <si>
    <t>发电表资产编号</t>
  </si>
  <si>
    <t>上网表资产号</t>
  </si>
  <si>
    <t>发电量</t>
  </si>
  <si>
    <t>上网电量</t>
  </si>
  <si>
    <t>上网费</t>
  </si>
  <si>
    <t>2026年2月深圳市鑫海盈印刷包装有限公司电费单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</si>
</sst>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 "/>
  </numFmts>
  <fonts count="49">
    <font>
      <sz val="11"/>
      <color theme="1"/>
      <name val="Tahoma"/>
      <charset val="134"/>
    </font>
    <font>
      <sz val="11"/>
      <name val="Tahoma"/>
      <charset val="134"/>
    </font>
    <font>
      <sz val="11"/>
      <color rgb="FFFF0000"/>
      <name val="Tahoma"/>
      <charset val="134"/>
    </font>
    <font>
      <b/>
      <sz val="20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color theme="1"/>
      <name val="Tahoma"/>
      <charset val="134"/>
    </font>
    <font>
      <sz val="16"/>
      <name val="Tahoma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11"/>
      <name val="微软雅黑"/>
      <charset val="134"/>
    </font>
    <font>
      <sz val="11"/>
      <color rgb="FF0070C0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name val="Times New Roma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7" borderId="12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7" fillId="7" borderId="11" applyNumberFormat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36" fillId="7" borderId="12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7" fillId="7" borderId="11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4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44" fillId="8" borderId="13" applyNumberFormat="0" applyAlignment="0" applyProtection="0">
      <alignment vertical="center"/>
    </xf>
    <xf numFmtId="0" fontId="44" fillId="8" borderId="13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7" fillId="6" borderId="11" applyNumberFormat="0" applyAlignment="0" applyProtection="0">
      <alignment vertical="center"/>
    </xf>
    <xf numFmtId="0" fontId="47" fillId="6" borderId="11" applyNumberFormat="0" applyAlignment="0" applyProtection="0">
      <alignment vertical="center"/>
    </xf>
    <xf numFmtId="0" fontId="16" fillId="5" borderId="8" applyNumberFormat="0" applyFont="0" applyAlignment="0" applyProtection="0">
      <alignment vertical="center"/>
    </xf>
    <xf numFmtId="0" fontId="16" fillId="5" borderId="8" applyNumberFormat="0" applyFont="0" applyAlignment="0" applyProtection="0">
      <alignment vertical="center"/>
    </xf>
  </cellStyleXfs>
  <cellXfs count="68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76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176" fontId="13" fillId="3" borderId="7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vertical="center"/>
    </xf>
    <xf numFmtId="176" fontId="10" fillId="0" borderId="2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0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176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3" borderId="7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 quotePrefix="1">
      <alignment horizontal="center" vertical="center" wrapText="1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648;&#33021;&#12289;&#30005;&#36153;&#27599;&#26376;&#32479;&#35745;\&#37995;&#28023;&#37995;\2025&#24180;12&#26376;\&#37995;&#28023;&#37995;202512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鑫海盈印刷包装202502"/>
      <sheetName val="供电局抄表记录2月"/>
      <sheetName val="鑫海盈印刷包装202503月"/>
      <sheetName val="鑫海盈印刷包装202504月 (2)"/>
      <sheetName val="鑫海盈印刷包装202505月 (3)"/>
      <sheetName val="鑫海盈印刷包装202506月 (2)"/>
      <sheetName val="鑫海盈印刷包装202507月 (2)"/>
      <sheetName val="鑫海盈印刷包装202508月 (3)"/>
      <sheetName val="鑫海盈印刷包装202509月 (2)"/>
      <sheetName val="鑫海盈印刷包装202510月 (3)"/>
      <sheetName val="鑫海盈印刷包装202511月 (2)"/>
      <sheetName val="鑫海盈印刷包装202512月"/>
      <sheetName val="每月汇总"/>
    </sheetNames>
    <sheetDataSet>
      <sheetData sheetId="0" refreshError="1">
        <row r="4">
          <cell r="A4" t="str">
            <v>用户号：'0950000880022175</v>
          </cell>
        </row>
        <row r="13">
          <cell r="A13" t="str">
            <v>用户号：0950000048227895</v>
          </cell>
        </row>
      </sheetData>
      <sheetData sheetId="1" refreshError="1">
        <row r="3">
          <cell r="A3" t="str">
            <v>0950050038124248</v>
          </cell>
          <cell r="B3" t="str">
            <v>09001SF00000042207348995</v>
          </cell>
        </row>
        <row r="4">
          <cell r="A4" t="str">
            <v>0950050038400663</v>
          </cell>
          <cell r="B4" t="str">
            <v>09001SF00000041804265458</v>
          </cell>
        </row>
        <row r="5">
          <cell r="A5" t="str">
            <v>0950050038007239</v>
          </cell>
          <cell r="B5" t="str">
            <v>09001SF00000042207348997</v>
          </cell>
        </row>
        <row r="6">
          <cell r="A6" t="str">
            <v>0950050038475391</v>
          </cell>
          <cell r="B6" t="str">
            <v>09001SF00000042107007793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zoomScale="85" zoomScaleNormal="85" workbookViewId="0">
      <selection activeCell="P11" sqref="P11"/>
    </sheetView>
  </sheetViews>
  <sheetFormatPr defaultColWidth="15.6" defaultRowHeight="27.75" customHeight="1"/>
  <cols>
    <col min="1" max="1" width="9.75" customWidth="1"/>
    <col min="2" max="2" width="8.23333333333333" customWidth="1"/>
    <col min="3" max="3" width="9.7" style="21" customWidth="1"/>
    <col min="4" max="4" width="8.975" style="21" customWidth="1"/>
    <col min="5" max="5" width="8.81666666666667" style="21" customWidth="1"/>
    <col min="6" max="6" width="7.14166666666667" style="21" customWidth="1"/>
    <col min="7" max="7" width="13.375" style="21" customWidth="1"/>
    <col min="8" max="8" width="12.6416666666667" style="21" customWidth="1"/>
    <col min="9" max="9" width="11.475" style="21" customWidth="1"/>
    <col min="10" max="10" width="7.38333333333333" style="21" customWidth="1"/>
    <col min="11" max="11" width="7.64166666666667" customWidth="1"/>
    <col min="12" max="12" width="6.03333333333333" customWidth="1"/>
    <col min="13" max="13" width="12.7916666666667" customWidth="1"/>
    <col min="14" max="14" width="12.5" customWidth="1"/>
    <col min="15" max="15" width="12.0583333333333" style="21" customWidth="1"/>
    <col min="16" max="16" width="12.7916666666667" customWidth="1"/>
    <col min="17" max="17" width="41.4583333333333" customWidth="1"/>
    <col min="18" max="18" width="25.4333333333333" customWidth="1"/>
    <col min="19" max="25" width="7.64166666666667" customWidth="1"/>
  </cols>
  <sheetData>
    <row r="1" ht="24" customHeight="1" spans="1:1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ht="15.75" customHeight="1" spans="1:18">
      <c r="A2" s="24" t="s">
        <v>1</v>
      </c>
      <c r="B2" s="24"/>
      <c r="C2" s="24"/>
      <c r="D2" s="24"/>
      <c r="E2" s="24"/>
      <c r="F2" s="24"/>
      <c r="G2" s="24"/>
      <c r="H2" s="24"/>
      <c r="I2" s="65" t="s">
        <v>2</v>
      </c>
      <c r="J2" s="66"/>
      <c r="K2" s="28"/>
      <c r="L2" s="28"/>
      <c r="M2" s="29"/>
      <c r="N2" s="30" t="s">
        <v>3</v>
      </c>
      <c r="O2" s="31" t="s">
        <v>4</v>
      </c>
      <c r="P2" s="32" t="s">
        <v>5</v>
      </c>
    </row>
    <row r="3" ht="32" customHeight="1" spans="1:18">
      <c r="A3" s="33" t="s">
        <v>6</v>
      </c>
      <c r="B3" s="34" t="s">
        <v>7</v>
      </c>
      <c r="C3" s="36" t="s">
        <v>8</v>
      </c>
      <c r="D3" s="36" t="s">
        <v>9</v>
      </c>
      <c r="E3" s="36" t="s">
        <v>10</v>
      </c>
      <c r="F3" s="36" t="s">
        <v>11</v>
      </c>
      <c r="G3" s="36" t="s">
        <v>12</v>
      </c>
      <c r="H3" s="36" t="s">
        <v>13</v>
      </c>
      <c r="I3" s="36" t="s">
        <v>8</v>
      </c>
      <c r="J3" s="36" t="s">
        <v>9</v>
      </c>
      <c r="K3" s="34" t="s">
        <v>10</v>
      </c>
      <c r="L3" s="34" t="s">
        <v>11</v>
      </c>
      <c r="M3" s="34" t="s">
        <v>12</v>
      </c>
      <c r="N3" s="37"/>
      <c r="O3" s="38"/>
      <c r="P3" s="39"/>
      <c r="Q3" s="40" t="s">
        <v>14</v>
      </c>
      <c r="R3" s="41"/>
    </row>
    <row r="4" ht="50" customHeight="1" spans="1:18">
      <c r="A4" s="42" t="s">
        <v>15</v>
      </c>
      <c r="B4" s="36" t="s">
        <v>16</v>
      </c>
      <c r="C4" s="67">
        <v>477.84</v>
      </c>
      <c r="D4" s="67">
        <v>526.27</v>
      </c>
      <c r="E4" s="44">
        <f t="shared" ref="E4:E8" si="0">D4-C4</f>
        <v>48.43</v>
      </c>
      <c r="F4" s="44">
        <v>100</v>
      </c>
      <c r="G4" s="44">
        <f t="shared" ref="G4:G8" si="1">E4*F4</f>
        <v>4843</v>
      </c>
      <c r="H4" s="45" t="s">
        <v>17</v>
      </c>
      <c r="I4" s="67">
        <v>47.58</v>
      </c>
      <c r="J4" s="67">
        <v>49.26</v>
      </c>
      <c r="K4" s="46">
        <f t="shared" ref="K4:K8" si="2">J4-I4</f>
        <v>1.68</v>
      </c>
      <c r="L4" s="46">
        <v>80</v>
      </c>
      <c r="M4" s="46">
        <f t="shared" ref="M4:M8" si="3">K4*L4</f>
        <v>134.4</v>
      </c>
      <c r="N4" s="46">
        <f t="shared" ref="N4:N14" si="4">G4-M4</f>
        <v>4708.6</v>
      </c>
      <c r="O4" s="47">
        <v>1.02346875</v>
      </c>
      <c r="P4" s="46">
        <f t="shared" ref="P4:P7" si="5">N4*O4</f>
        <v>4819.10495625</v>
      </c>
      <c r="Q4" s="48"/>
      <c r="R4" s="49"/>
    </row>
    <row r="5" ht="32" customHeight="1" spans="1:18">
      <c r="A5" s="68" t="s">
        <v>18</v>
      </c>
      <c r="B5" s="36" t="s">
        <v>19</v>
      </c>
      <c r="C5" s="67">
        <v>447.51</v>
      </c>
      <c r="D5" s="67">
        <v>491.98</v>
      </c>
      <c r="E5" s="44">
        <f t="shared" si="0"/>
        <v>44.47</v>
      </c>
      <c r="F5" s="44">
        <v>100</v>
      </c>
      <c r="G5" s="44">
        <f t="shared" si="1"/>
        <v>4447</v>
      </c>
      <c r="H5" s="45"/>
      <c r="I5" s="67">
        <v>38.78</v>
      </c>
      <c r="J5" s="67">
        <v>40.5</v>
      </c>
      <c r="K5" s="46">
        <f t="shared" si="2"/>
        <v>1.72</v>
      </c>
      <c r="L5" s="46">
        <v>80</v>
      </c>
      <c r="M5" s="46">
        <f t="shared" si="3"/>
        <v>137.6</v>
      </c>
      <c r="N5" s="46">
        <f t="shared" si="4"/>
        <v>4309.4</v>
      </c>
      <c r="O5" s="47">
        <v>1.02346875</v>
      </c>
      <c r="P5" s="46">
        <f t="shared" si="5"/>
        <v>4410.53623125</v>
      </c>
      <c r="Q5" s="40" t="s">
        <v>20</v>
      </c>
    </row>
    <row r="6" ht="32" customHeight="1" spans="1:18">
      <c r="A6" s="51" t="s">
        <v>21</v>
      </c>
      <c r="B6" s="36" t="s">
        <v>22</v>
      </c>
      <c r="C6" s="67">
        <v>768.26</v>
      </c>
      <c r="D6" s="67">
        <v>844.19</v>
      </c>
      <c r="E6" s="44">
        <f t="shared" si="0"/>
        <v>75.9300000000001</v>
      </c>
      <c r="F6" s="44">
        <v>100</v>
      </c>
      <c r="G6" s="44">
        <f t="shared" si="1"/>
        <v>7593.00000000001</v>
      </c>
      <c r="H6" s="45"/>
      <c r="I6" s="67">
        <v>184.16</v>
      </c>
      <c r="J6" s="67">
        <v>208</v>
      </c>
      <c r="K6" s="46">
        <f t="shared" si="2"/>
        <v>23.84</v>
      </c>
      <c r="L6" s="46">
        <v>80</v>
      </c>
      <c r="M6" s="46">
        <f t="shared" si="3"/>
        <v>1907.2</v>
      </c>
      <c r="N6" s="46">
        <f t="shared" si="4"/>
        <v>5685.80000000001</v>
      </c>
      <c r="O6" s="47">
        <v>0.68096875</v>
      </c>
      <c r="P6" s="46">
        <f t="shared" si="5"/>
        <v>3871.85211875</v>
      </c>
      <c r="Q6" s="52" t="s">
        <v>23</v>
      </c>
      <c r="R6" s="41"/>
    </row>
    <row r="7" ht="32" customHeight="1" spans="1:18">
      <c r="A7" s="51"/>
      <c r="B7" s="36" t="s">
        <v>24</v>
      </c>
      <c r="C7" s="67">
        <v>57.27</v>
      </c>
      <c r="D7" s="67">
        <v>58.7</v>
      </c>
      <c r="E7" s="44">
        <f t="shared" si="0"/>
        <v>1.43</v>
      </c>
      <c r="F7" s="44">
        <v>100</v>
      </c>
      <c r="G7" s="44">
        <f t="shared" si="1"/>
        <v>143</v>
      </c>
      <c r="H7" s="45"/>
      <c r="I7" s="67">
        <v>4.01</v>
      </c>
      <c r="J7" s="67">
        <v>4.03</v>
      </c>
      <c r="K7" s="46">
        <f t="shared" si="2"/>
        <v>0.0200000000000005</v>
      </c>
      <c r="L7" s="46">
        <v>80</v>
      </c>
      <c r="M7" s="46">
        <f t="shared" si="3"/>
        <v>1.60000000000004</v>
      </c>
      <c r="N7" s="46">
        <f t="shared" si="4"/>
        <v>141.4</v>
      </c>
      <c r="O7" s="47">
        <v>0.24956875</v>
      </c>
      <c r="P7" s="46">
        <f t="shared" si="5"/>
        <v>35.28902125</v>
      </c>
      <c r="Q7" s="40" t="s">
        <v>25</v>
      </c>
      <c r="R7" s="41"/>
    </row>
    <row r="8" ht="32" customHeight="1" spans="1:18">
      <c r="A8" s="53"/>
      <c r="B8" s="36" t="s">
        <v>26</v>
      </c>
      <c r="C8" s="67">
        <v>1750.9</v>
      </c>
      <c r="D8" s="67">
        <v>1921.16</v>
      </c>
      <c r="E8" s="44">
        <f t="shared" si="0"/>
        <v>170.26</v>
      </c>
      <c r="F8" s="44">
        <v>100</v>
      </c>
      <c r="G8" s="44">
        <f t="shared" si="1"/>
        <v>17026</v>
      </c>
      <c r="H8" s="45"/>
      <c r="I8" s="67">
        <v>274.55</v>
      </c>
      <c r="J8" s="67">
        <v>301.81</v>
      </c>
      <c r="K8" s="46">
        <f t="shared" si="2"/>
        <v>27.26</v>
      </c>
      <c r="L8" s="46">
        <v>80</v>
      </c>
      <c r="M8" s="46">
        <f t="shared" si="3"/>
        <v>2180.8</v>
      </c>
      <c r="N8" s="46">
        <f t="shared" si="4"/>
        <v>14845.2</v>
      </c>
      <c r="O8" s="44"/>
      <c r="P8" s="46">
        <f>SUM(P4:P7)</f>
        <v>13136.7823275</v>
      </c>
      <c r="Q8" s="52" t="s">
        <v>27</v>
      </c>
      <c r="R8" s="41"/>
    </row>
    <row r="9" ht="15" customHeight="1" spans="1:18">
      <c r="A9" s="50"/>
      <c r="B9" s="36"/>
      <c r="C9" s="44"/>
      <c r="D9" s="44"/>
      <c r="E9" s="44"/>
      <c r="F9" s="44"/>
      <c r="G9" s="44"/>
      <c r="H9" s="45"/>
      <c r="I9" s="44"/>
      <c r="J9" s="44"/>
      <c r="K9" s="46"/>
      <c r="L9" s="46"/>
      <c r="M9" s="46"/>
      <c r="N9" s="46">
        <f t="shared" si="4"/>
        <v>0</v>
      </c>
      <c r="O9" s="44"/>
      <c r="P9" s="46"/>
      <c r="Q9" s="41"/>
    </row>
    <row r="10" ht="32" customHeight="1" spans="1:18">
      <c r="A10" s="50" t="s">
        <v>28</v>
      </c>
      <c r="B10" s="36" t="s">
        <v>16</v>
      </c>
      <c r="C10" s="67">
        <v>406.39</v>
      </c>
      <c r="D10" s="67">
        <v>448.19</v>
      </c>
      <c r="E10" s="44">
        <f t="shared" ref="E10:E14" si="6">D10-C10</f>
        <v>41.8</v>
      </c>
      <c r="F10" s="44">
        <v>40</v>
      </c>
      <c r="G10" s="44">
        <f t="shared" ref="G10:G14" si="7">E10*F10</f>
        <v>1672</v>
      </c>
      <c r="H10" s="45" t="s">
        <v>29</v>
      </c>
      <c r="I10" s="67">
        <v>74.4</v>
      </c>
      <c r="J10" s="67">
        <v>82.48</v>
      </c>
      <c r="K10" s="46">
        <f t="shared" ref="K10:K14" si="8">J10-I10</f>
        <v>8.08</v>
      </c>
      <c r="L10" s="46">
        <v>40</v>
      </c>
      <c r="M10" s="46">
        <f t="shared" ref="M10:M14" si="9">K10*L10</f>
        <v>323.2</v>
      </c>
      <c r="N10" s="46">
        <f t="shared" si="4"/>
        <v>1348.8</v>
      </c>
      <c r="O10" s="47">
        <v>0.95786875</v>
      </c>
      <c r="P10" s="46">
        <f t="shared" ref="P10:P13" si="10">O10*N10</f>
        <v>1291.97337</v>
      </c>
      <c r="Q10" s="40" t="s">
        <v>30</v>
      </c>
    </row>
    <row r="11" ht="32" customHeight="1" spans="1:18">
      <c r="A11" s="50" t="s">
        <v>31</v>
      </c>
      <c r="B11" s="36" t="s">
        <v>19</v>
      </c>
      <c r="C11" s="67">
        <v>387.03</v>
      </c>
      <c r="D11" s="67">
        <v>425.84</v>
      </c>
      <c r="E11" s="44">
        <f t="shared" si="6"/>
        <v>38.81</v>
      </c>
      <c r="F11" s="44">
        <v>40</v>
      </c>
      <c r="G11" s="44">
        <f t="shared" si="7"/>
        <v>1552.4</v>
      </c>
      <c r="H11" s="45"/>
      <c r="I11" s="67">
        <v>65.96</v>
      </c>
      <c r="J11" s="67">
        <v>73.03</v>
      </c>
      <c r="K11" s="46">
        <f t="shared" si="8"/>
        <v>7.07000000000001</v>
      </c>
      <c r="L11" s="46">
        <v>40</v>
      </c>
      <c r="M11" s="46">
        <f t="shared" si="9"/>
        <v>282.8</v>
      </c>
      <c r="N11" s="46">
        <f t="shared" si="4"/>
        <v>1269.6</v>
      </c>
      <c r="O11" s="47">
        <v>0.95786875</v>
      </c>
      <c r="P11" s="46">
        <f t="shared" si="10"/>
        <v>1216.110165</v>
      </c>
      <c r="Q11" s="48"/>
    </row>
    <row r="12" ht="32" customHeight="1" spans="1:18">
      <c r="A12" s="50"/>
      <c r="B12" s="36" t="s">
        <v>22</v>
      </c>
      <c r="C12" s="67">
        <v>683.34</v>
      </c>
      <c r="D12" s="67">
        <v>749.81</v>
      </c>
      <c r="E12" s="44">
        <f t="shared" si="6"/>
        <v>66.4699999999999</v>
      </c>
      <c r="F12" s="44">
        <v>40</v>
      </c>
      <c r="G12" s="44">
        <f t="shared" si="7"/>
        <v>2658.8</v>
      </c>
      <c r="H12" s="45"/>
      <c r="I12" s="67">
        <v>320.44</v>
      </c>
      <c r="J12" s="67">
        <v>357.54</v>
      </c>
      <c r="K12" s="46">
        <f t="shared" si="8"/>
        <v>37.1</v>
      </c>
      <c r="L12" s="46">
        <v>40</v>
      </c>
      <c r="M12" s="46">
        <f t="shared" si="9"/>
        <v>1484</v>
      </c>
      <c r="N12" s="46">
        <f t="shared" si="4"/>
        <v>1174.8</v>
      </c>
      <c r="O12" s="47">
        <v>0.71406875</v>
      </c>
      <c r="P12" s="46">
        <f t="shared" si="10"/>
        <v>838.887967499997</v>
      </c>
      <c r="Q12" s="40" t="s">
        <v>32</v>
      </c>
    </row>
    <row r="13" ht="32" customHeight="1" spans="1:18">
      <c r="A13" s="42" t="s">
        <v>33</v>
      </c>
      <c r="B13" s="36" t="s">
        <v>24</v>
      </c>
      <c r="C13" s="67">
        <v>52.18</v>
      </c>
      <c r="D13" s="67">
        <v>54.39</v>
      </c>
      <c r="E13" s="44">
        <f t="shared" si="6"/>
        <v>2.21</v>
      </c>
      <c r="F13" s="44">
        <v>40</v>
      </c>
      <c r="G13" s="44">
        <f t="shared" si="7"/>
        <v>88.4</v>
      </c>
      <c r="H13" s="45"/>
      <c r="I13" s="67">
        <v>33.2</v>
      </c>
      <c r="J13" s="67">
        <v>33.61</v>
      </c>
      <c r="K13" s="46">
        <f t="shared" si="8"/>
        <v>0.409999999999997</v>
      </c>
      <c r="L13" s="46">
        <v>40</v>
      </c>
      <c r="M13" s="46">
        <f t="shared" si="9"/>
        <v>16.3999999999999</v>
      </c>
      <c r="N13" s="46">
        <f t="shared" si="4"/>
        <v>72.0000000000002</v>
      </c>
      <c r="O13" s="47">
        <v>0.22636875</v>
      </c>
      <c r="P13" s="46">
        <f t="shared" si="10"/>
        <v>16.29855</v>
      </c>
      <c r="Q13" s="52" t="s">
        <v>34</v>
      </c>
    </row>
    <row r="14" ht="32" customHeight="1" spans="1:18">
      <c r="A14" s="42"/>
      <c r="B14" s="36" t="s">
        <v>26</v>
      </c>
      <c r="C14" s="67">
        <v>1529.95</v>
      </c>
      <c r="D14" s="67">
        <v>1678.25</v>
      </c>
      <c r="E14" s="44">
        <f t="shared" si="6"/>
        <v>148.3</v>
      </c>
      <c r="F14" s="44">
        <v>40</v>
      </c>
      <c r="G14" s="44">
        <f t="shared" si="7"/>
        <v>5932</v>
      </c>
      <c r="H14" s="45"/>
      <c r="I14" s="67">
        <v>494.02</v>
      </c>
      <c r="J14" s="67">
        <v>546.67</v>
      </c>
      <c r="K14" s="46">
        <f t="shared" si="8"/>
        <v>52.65</v>
      </c>
      <c r="L14" s="46">
        <v>40</v>
      </c>
      <c r="M14" s="46">
        <f t="shared" si="9"/>
        <v>2106</v>
      </c>
      <c r="N14" s="46">
        <f t="shared" si="4"/>
        <v>3826</v>
      </c>
      <c r="O14" s="44"/>
      <c r="P14" s="46">
        <f>SUM(P10:P13)</f>
        <v>3363.2700525</v>
      </c>
      <c r="Q14" s="40" t="s">
        <v>35</v>
      </c>
    </row>
    <row r="15" ht="22" customHeight="1" spans="1:18">
      <c r="A15" s="50"/>
      <c r="B15" s="36"/>
      <c r="C15" s="44"/>
      <c r="D15" s="44"/>
      <c r="E15" s="54" t="s">
        <v>36</v>
      </c>
      <c r="F15" s="54"/>
      <c r="G15" s="54">
        <f>G8+G14</f>
        <v>22958</v>
      </c>
      <c r="H15" s="54"/>
      <c r="I15" s="54"/>
      <c r="J15" s="54"/>
      <c r="K15" s="55"/>
      <c r="L15" s="55"/>
      <c r="M15" s="55">
        <f>SUM(M4:M14)</f>
        <v>8574</v>
      </c>
      <c r="N15" s="55">
        <f>N14+N8</f>
        <v>18671.2</v>
      </c>
      <c r="O15" s="56"/>
      <c r="P15" s="57">
        <f>P14+P8</f>
        <v>16500.05238</v>
      </c>
      <c r="Q15" s="40" t="s">
        <v>37</v>
      </c>
    </row>
    <row r="16" customHeight="1" spans="1:18">
      <c r="A16" s="58" t="s">
        <v>38</v>
      </c>
      <c r="B16" s="58"/>
      <c r="C16" s="60"/>
      <c r="D16" s="60"/>
      <c r="E16" s="60"/>
      <c r="F16" s="60"/>
      <c r="G16" s="60"/>
      <c r="H16" s="60"/>
      <c r="I16" s="60"/>
      <c r="J16" s="60"/>
      <c r="K16" s="58"/>
      <c r="L16" s="58"/>
      <c r="M16" s="58"/>
      <c r="N16" s="58"/>
      <c r="O16" s="26">
        <f>P15*0.98</f>
        <v>16170.0513324</v>
      </c>
      <c r="P16" s="61"/>
    </row>
    <row r="17" ht="15" customHeight="1" spans="1:12">
      <c r="A17" s="62"/>
      <c r="B17" s="62"/>
      <c r="C17" s="64"/>
      <c r="D17" s="64"/>
      <c r="E17" s="64"/>
      <c r="F17" s="64"/>
      <c r="G17" s="64"/>
      <c r="H17" s="64"/>
      <c r="I17" s="64"/>
      <c r="J17" s="64"/>
      <c r="K17" s="62"/>
      <c r="L17" s="62"/>
    </row>
    <row r="18" ht="15" customHeight="1" spans="1:12">
      <c r="A18" s="62"/>
      <c r="B18" s="62"/>
      <c r="C18" s="64"/>
      <c r="D18" s="64"/>
      <c r="E18" s="64"/>
      <c r="F18" s="64"/>
      <c r="G18" s="64"/>
      <c r="H18" s="64"/>
      <c r="I18" s="64"/>
      <c r="J18" s="64"/>
      <c r="K18" s="62"/>
      <c r="L18" s="62"/>
    </row>
  </sheetData>
  <mergeCells count="18">
    <mergeCell ref="A1:P1"/>
    <mergeCell ref="A2:G2"/>
    <mergeCell ref="I2:M2"/>
    <mergeCell ref="A16:N16"/>
    <mergeCell ref="O16:P16"/>
    <mergeCell ref="A17:L17"/>
    <mergeCell ref="A18:L18"/>
    <mergeCell ref="A6:A7"/>
    <mergeCell ref="A11:A12"/>
    <mergeCell ref="A13:A14"/>
    <mergeCell ref="H4:H7"/>
    <mergeCell ref="H10:H13"/>
    <mergeCell ref="N2:N3"/>
    <mergeCell ref="O2:O3"/>
    <mergeCell ref="P2:P3"/>
    <mergeCell ref="Q3:Q4"/>
    <mergeCell ref="Q10:Q11"/>
    <mergeCell ref="R3:R4"/>
  </mergeCells>
  <pageMargins left="0.118055555555556" right="0.0861111111111111" top="0.724305555555556" bottom="0.550694444444444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zoomScale="85" zoomScaleNormal="85" workbookViewId="0">
      <selection activeCell="H10" sqref="H10:H13"/>
    </sheetView>
  </sheetViews>
  <sheetFormatPr defaultColWidth="15.6" defaultRowHeight="27.75" customHeight="1"/>
  <cols>
    <col min="1" max="1" width="9.75" customWidth="1"/>
    <col min="2" max="2" width="8.23333333333333" customWidth="1"/>
    <col min="3" max="3" width="9.7" style="20" customWidth="1"/>
    <col min="4" max="4" width="8.975" style="20" customWidth="1"/>
    <col min="5" max="5" width="8.81666666666667" style="21" customWidth="1"/>
    <col min="6" max="6" width="7.14166666666667" style="21" customWidth="1"/>
    <col min="7" max="7" width="13.375" style="21" customWidth="1"/>
    <col min="8" max="8" width="12.6416666666667" style="21" customWidth="1"/>
    <col min="9" max="9" width="11.475" style="20" customWidth="1"/>
    <col min="10" max="10" width="10" style="20" customWidth="1"/>
    <col min="11" max="11" width="7.64166666666667" customWidth="1"/>
    <col min="12" max="12" width="6.03333333333333" customWidth="1"/>
    <col min="13" max="13" width="12.7916666666667" customWidth="1"/>
    <col min="14" max="14" width="12.5" customWidth="1"/>
    <col min="15" max="15" width="12.0583333333333" style="21" customWidth="1"/>
    <col min="16" max="16" width="12.7916666666667" customWidth="1"/>
    <col min="17" max="17" width="41.4583333333333" customWidth="1"/>
    <col min="18" max="18" width="25.4333333333333" customWidth="1"/>
    <col min="19" max="25" width="7.64166666666667" customWidth="1"/>
  </cols>
  <sheetData>
    <row r="1" ht="24" customHeight="1" spans="1:18">
      <c r="A1" s="22" t="s">
        <v>39</v>
      </c>
      <c r="B1" s="22"/>
      <c r="C1" s="23"/>
      <c r="D1" s="23"/>
      <c r="E1" s="22"/>
      <c r="F1" s="22"/>
      <c r="G1" s="22"/>
      <c r="H1" s="22"/>
      <c r="I1" s="23"/>
      <c r="J1" s="23"/>
      <c r="K1" s="22"/>
      <c r="L1" s="22"/>
      <c r="M1" s="22"/>
      <c r="N1" s="22"/>
      <c r="O1" s="22"/>
      <c r="P1" s="22"/>
    </row>
    <row r="2" ht="15.75" customHeight="1" spans="1:18">
      <c r="A2" s="24" t="s">
        <v>1</v>
      </c>
      <c r="B2" s="24"/>
      <c r="C2" s="25"/>
      <c r="D2" s="25"/>
      <c r="E2" s="24"/>
      <c r="F2" s="24"/>
      <c r="G2" s="24"/>
      <c r="H2" s="24"/>
      <c r="I2" s="26" t="s">
        <v>2</v>
      </c>
      <c r="J2" s="27"/>
      <c r="K2" s="28"/>
      <c r="L2" s="28"/>
      <c r="M2" s="29"/>
      <c r="N2" s="30" t="s">
        <v>3</v>
      </c>
      <c r="O2" s="31" t="s">
        <v>4</v>
      </c>
      <c r="P2" s="32" t="s">
        <v>5</v>
      </c>
    </row>
    <row r="3" ht="32" customHeight="1" spans="1:18">
      <c r="A3" s="33" t="s">
        <v>6</v>
      </c>
      <c r="B3" s="34" t="s">
        <v>7</v>
      </c>
      <c r="C3" s="35" t="s">
        <v>8</v>
      </c>
      <c r="D3" s="35" t="s">
        <v>9</v>
      </c>
      <c r="E3" s="36" t="s">
        <v>10</v>
      </c>
      <c r="F3" s="36" t="s">
        <v>11</v>
      </c>
      <c r="G3" s="36" t="s">
        <v>12</v>
      </c>
      <c r="H3" s="36" t="s">
        <v>13</v>
      </c>
      <c r="I3" s="35" t="s">
        <v>8</v>
      </c>
      <c r="J3" s="35" t="s">
        <v>9</v>
      </c>
      <c r="K3" s="34" t="s">
        <v>10</v>
      </c>
      <c r="L3" s="34" t="s">
        <v>11</v>
      </c>
      <c r="M3" s="34" t="s">
        <v>12</v>
      </c>
      <c r="N3" s="37"/>
      <c r="O3" s="38"/>
      <c r="P3" s="39"/>
      <c r="Q3" s="40" t="s">
        <v>14</v>
      </c>
      <c r="R3" s="41"/>
    </row>
    <row r="4" ht="50" customHeight="1" spans="1:18">
      <c r="A4" s="42" t="s">
        <v>15</v>
      </c>
      <c r="B4" s="36" t="s">
        <v>16</v>
      </c>
      <c r="C4" s="43">
        <v>526.27</v>
      </c>
      <c r="D4" s="43">
        <v>564.93</v>
      </c>
      <c r="E4" s="44">
        <f t="shared" ref="E4:E8" si="0">D4-C4</f>
        <v>38.66</v>
      </c>
      <c r="F4" s="44">
        <v>100</v>
      </c>
      <c r="G4" s="44">
        <f t="shared" ref="G4:G8" si="1">E4*F4</f>
        <v>3866</v>
      </c>
      <c r="H4" s="45" t="s">
        <v>17</v>
      </c>
      <c r="I4" s="43">
        <v>49.26</v>
      </c>
      <c r="J4" s="43">
        <v>73.48</v>
      </c>
      <c r="K4" s="46">
        <f t="shared" ref="K4:K8" si="2">J4-I4</f>
        <v>24.22</v>
      </c>
      <c r="L4" s="46">
        <v>80</v>
      </c>
      <c r="M4" s="46">
        <f t="shared" ref="M4:M8" si="3">K4*L4</f>
        <v>1937.6</v>
      </c>
      <c r="N4" s="46">
        <f t="shared" ref="N4:N14" si="4">G4-M4</f>
        <v>1928.4</v>
      </c>
      <c r="O4" s="47">
        <v>1.16626875</v>
      </c>
      <c r="P4" s="46">
        <f t="shared" ref="P4:P7" si="5">N4*O4</f>
        <v>2249.0326575</v>
      </c>
      <c r="Q4" s="48"/>
      <c r="R4" s="49"/>
    </row>
    <row r="5" ht="32" customHeight="1" spans="1:18">
      <c r="A5" s="68" t="s">
        <v>18</v>
      </c>
      <c r="B5" s="36" t="s">
        <v>19</v>
      </c>
      <c r="C5" s="43">
        <v>491.98</v>
      </c>
      <c r="D5" s="43">
        <v>527.1</v>
      </c>
      <c r="E5" s="44">
        <f t="shared" si="0"/>
        <v>35.12</v>
      </c>
      <c r="F5" s="44">
        <v>100</v>
      </c>
      <c r="G5" s="44">
        <f t="shared" si="1"/>
        <v>3512</v>
      </c>
      <c r="H5" s="45"/>
      <c r="I5" s="43">
        <v>40.5</v>
      </c>
      <c r="J5" s="43">
        <v>63.67</v>
      </c>
      <c r="K5" s="46">
        <f t="shared" si="2"/>
        <v>23.17</v>
      </c>
      <c r="L5" s="46">
        <v>80</v>
      </c>
      <c r="M5" s="46">
        <f t="shared" si="3"/>
        <v>1853.6</v>
      </c>
      <c r="N5" s="46">
        <f t="shared" si="4"/>
        <v>1658.4</v>
      </c>
      <c r="O5" s="47">
        <v>1.16626875</v>
      </c>
      <c r="P5" s="46">
        <f t="shared" si="5"/>
        <v>1934.140095</v>
      </c>
      <c r="Q5" s="40" t="s">
        <v>20</v>
      </c>
    </row>
    <row r="6" ht="32" customHeight="1" spans="1:18">
      <c r="A6" s="51" t="s">
        <v>21</v>
      </c>
      <c r="B6" s="36" t="s">
        <v>22</v>
      </c>
      <c r="C6" s="43">
        <v>844.19</v>
      </c>
      <c r="D6" s="43">
        <v>902.99</v>
      </c>
      <c r="E6" s="44">
        <f t="shared" si="0"/>
        <v>58.8</v>
      </c>
      <c r="F6" s="44">
        <v>100</v>
      </c>
      <c r="G6" s="44">
        <f t="shared" si="1"/>
        <v>5880</v>
      </c>
      <c r="H6" s="45"/>
      <c r="I6" s="43">
        <v>208</v>
      </c>
      <c r="J6" s="43">
        <v>251.08</v>
      </c>
      <c r="K6" s="46">
        <f t="shared" si="2"/>
        <v>43.08</v>
      </c>
      <c r="L6" s="46">
        <v>80</v>
      </c>
      <c r="M6" s="46">
        <f t="shared" si="3"/>
        <v>3446.4</v>
      </c>
      <c r="N6" s="46">
        <f t="shared" si="4"/>
        <v>2433.59999999999</v>
      </c>
      <c r="O6" s="47">
        <v>0.77466875</v>
      </c>
      <c r="P6" s="46">
        <f t="shared" si="5"/>
        <v>1885.23387</v>
      </c>
      <c r="Q6" s="52" t="s">
        <v>23</v>
      </c>
      <c r="R6" s="41"/>
    </row>
    <row r="7" ht="32" customHeight="1" spans="1:18">
      <c r="A7" s="51"/>
      <c r="B7" s="36" t="s">
        <v>24</v>
      </c>
      <c r="C7" s="43">
        <v>58.7</v>
      </c>
      <c r="D7" s="43">
        <v>60.14</v>
      </c>
      <c r="E7" s="44">
        <f t="shared" si="0"/>
        <v>1.44</v>
      </c>
      <c r="F7" s="44">
        <v>100</v>
      </c>
      <c r="G7" s="44">
        <f t="shared" si="1"/>
        <v>144</v>
      </c>
      <c r="H7" s="45"/>
      <c r="I7" s="43">
        <v>4.03</v>
      </c>
      <c r="J7" s="43">
        <v>4.6</v>
      </c>
      <c r="K7" s="46">
        <f t="shared" si="2"/>
        <v>0.569999999999999</v>
      </c>
      <c r="L7" s="46">
        <v>80</v>
      </c>
      <c r="M7" s="46">
        <f t="shared" si="3"/>
        <v>45.6</v>
      </c>
      <c r="N7" s="46">
        <f t="shared" si="4"/>
        <v>98.3999999999998</v>
      </c>
      <c r="O7" s="47">
        <v>0.28146875</v>
      </c>
      <c r="P7" s="46">
        <f t="shared" si="5"/>
        <v>27.6965249999999</v>
      </c>
      <c r="Q7" s="40" t="s">
        <v>25</v>
      </c>
      <c r="R7" s="41"/>
    </row>
    <row r="8" ht="32" customHeight="1" spans="1:18">
      <c r="A8" s="53"/>
      <c r="B8" s="36" t="s">
        <v>26</v>
      </c>
      <c r="C8" s="43">
        <v>1921.16</v>
      </c>
      <c r="D8" s="43">
        <v>2055.18</v>
      </c>
      <c r="E8" s="44">
        <f t="shared" si="0"/>
        <v>134.02</v>
      </c>
      <c r="F8" s="44">
        <v>100</v>
      </c>
      <c r="G8" s="44">
        <f t="shared" si="1"/>
        <v>13402</v>
      </c>
      <c r="H8" s="45"/>
      <c r="I8" s="43">
        <v>301.81</v>
      </c>
      <c r="J8" s="43">
        <v>392.84</v>
      </c>
      <c r="K8" s="46">
        <f t="shared" si="2"/>
        <v>91.03</v>
      </c>
      <c r="L8" s="46">
        <v>80</v>
      </c>
      <c r="M8" s="46">
        <f t="shared" si="3"/>
        <v>7282.4</v>
      </c>
      <c r="N8" s="46">
        <f t="shared" si="4"/>
        <v>6119.59999999998</v>
      </c>
      <c r="O8" s="44"/>
      <c r="P8" s="46">
        <f>SUM(P4:P7)</f>
        <v>6096.10314749999</v>
      </c>
      <c r="Q8" s="52" t="s">
        <v>27</v>
      </c>
      <c r="R8" s="41"/>
    </row>
    <row r="9" ht="15" customHeight="1" spans="1:18">
      <c r="A9" s="50"/>
      <c r="B9" s="36"/>
      <c r="C9" s="44"/>
      <c r="D9" s="44"/>
      <c r="E9" s="44"/>
      <c r="F9" s="44"/>
      <c r="G9" s="44"/>
      <c r="H9" s="45"/>
      <c r="I9" s="44"/>
      <c r="J9" s="44"/>
      <c r="K9" s="46"/>
      <c r="L9" s="46"/>
      <c r="M9" s="46"/>
      <c r="N9" s="46">
        <f t="shared" si="4"/>
        <v>0</v>
      </c>
      <c r="O9" s="44"/>
      <c r="P9" s="46"/>
      <c r="Q9" s="41"/>
    </row>
    <row r="10" ht="32" customHeight="1" spans="1:18">
      <c r="A10" s="50" t="s">
        <v>28</v>
      </c>
      <c r="B10" s="36" t="s">
        <v>16</v>
      </c>
      <c r="C10" s="43">
        <v>448.19</v>
      </c>
      <c r="D10" s="43">
        <v>480.11</v>
      </c>
      <c r="E10" s="44">
        <f t="shared" ref="E10:E14" si="6">D10-C10</f>
        <v>31.92</v>
      </c>
      <c r="F10" s="44">
        <v>40</v>
      </c>
      <c r="G10" s="44">
        <f t="shared" ref="G10:G14" si="7">E10*F10</f>
        <v>1276.8</v>
      </c>
      <c r="H10" s="45" t="s">
        <v>29</v>
      </c>
      <c r="I10" s="43">
        <v>82.48</v>
      </c>
      <c r="J10" s="43">
        <v>100.59</v>
      </c>
      <c r="K10" s="46">
        <f t="shared" ref="K10:K14" si="8">J10-I10</f>
        <v>18.11</v>
      </c>
      <c r="L10" s="46">
        <v>40</v>
      </c>
      <c r="M10" s="46">
        <f t="shared" ref="M10:M14" si="9">K10*L10</f>
        <v>724.4</v>
      </c>
      <c r="N10" s="46">
        <f t="shared" si="4"/>
        <v>552.400000000001</v>
      </c>
      <c r="O10" s="47">
        <v>1.08496875</v>
      </c>
      <c r="P10" s="46">
        <f t="shared" ref="P10:P13" si="10">O10*N10</f>
        <v>599.336737500001</v>
      </c>
      <c r="Q10" s="40" t="s">
        <v>30</v>
      </c>
    </row>
    <row r="11" ht="32" customHeight="1" spans="1:18">
      <c r="A11" s="50" t="s">
        <v>31</v>
      </c>
      <c r="B11" s="36" t="s">
        <v>19</v>
      </c>
      <c r="C11" s="43">
        <v>425.84</v>
      </c>
      <c r="D11" s="43">
        <v>455.25</v>
      </c>
      <c r="E11" s="44">
        <f t="shared" si="6"/>
        <v>29.41</v>
      </c>
      <c r="F11" s="44">
        <v>40</v>
      </c>
      <c r="G11" s="44">
        <f t="shared" si="7"/>
        <v>1176.4</v>
      </c>
      <c r="H11" s="45"/>
      <c r="I11" s="43">
        <v>73.03</v>
      </c>
      <c r="J11" s="43">
        <v>90.05</v>
      </c>
      <c r="K11" s="46">
        <f t="shared" si="8"/>
        <v>17.02</v>
      </c>
      <c r="L11" s="46">
        <v>40</v>
      </c>
      <c r="M11" s="46">
        <f t="shared" si="9"/>
        <v>680.8</v>
      </c>
      <c r="N11" s="46">
        <f t="shared" si="4"/>
        <v>495.600000000001</v>
      </c>
      <c r="O11" s="47">
        <v>1.08496875</v>
      </c>
      <c r="P11" s="46">
        <f t="shared" si="10"/>
        <v>537.710512500001</v>
      </c>
      <c r="Q11" s="48"/>
    </row>
    <row r="12" ht="32" customHeight="1" spans="1:18">
      <c r="A12" s="50"/>
      <c r="B12" s="36" t="s">
        <v>22</v>
      </c>
      <c r="C12" s="43">
        <v>749.81</v>
      </c>
      <c r="D12" s="43">
        <v>799.14</v>
      </c>
      <c r="E12" s="44">
        <f t="shared" si="6"/>
        <v>49.33</v>
      </c>
      <c r="F12" s="44">
        <v>40</v>
      </c>
      <c r="G12" s="44">
        <f t="shared" si="7"/>
        <v>1973.2</v>
      </c>
      <c r="H12" s="45"/>
      <c r="I12" s="43">
        <v>357.54</v>
      </c>
      <c r="J12" s="43">
        <v>395.39</v>
      </c>
      <c r="K12" s="46">
        <f t="shared" si="8"/>
        <v>37.85</v>
      </c>
      <c r="L12" s="46">
        <v>40</v>
      </c>
      <c r="M12" s="46">
        <f t="shared" si="9"/>
        <v>1514</v>
      </c>
      <c r="N12" s="46">
        <f t="shared" si="4"/>
        <v>459.200000000003</v>
      </c>
      <c r="O12" s="47">
        <v>0.80776875</v>
      </c>
      <c r="P12" s="46">
        <f t="shared" si="10"/>
        <v>370.927410000002</v>
      </c>
      <c r="Q12" s="40" t="s">
        <v>32</v>
      </c>
    </row>
    <row r="13" ht="32" customHeight="1" spans="1:18">
      <c r="A13" s="42" t="s">
        <v>33</v>
      </c>
      <c r="B13" s="36" t="s">
        <v>24</v>
      </c>
      <c r="C13" s="43">
        <v>54.39</v>
      </c>
      <c r="D13" s="43">
        <v>55.53</v>
      </c>
      <c r="E13" s="44">
        <f t="shared" si="6"/>
        <v>1.14</v>
      </c>
      <c r="F13" s="44">
        <v>40</v>
      </c>
      <c r="G13" s="44">
        <f t="shared" si="7"/>
        <v>45.6</v>
      </c>
      <c r="H13" s="45"/>
      <c r="I13" s="43">
        <v>33.61</v>
      </c>
      <c r="J13" s="43">
        <v>34.3</v>
      </c>
      <c r="K13" s="46">
        <f t="shared" si="8"/>
        <v>0.689999999999998</v>
      </c>
      <c r="L13" s="46">
        <v>40</v>
      </c>
      <c r="M13" s="46">
        <f t="shared" si="9"/>
        <v>27.5999999999999</v>
      </c>
      <c r="N13" s="46">
        <f t="shared" si="4"/>
        <v>18.0000000000001</v>
      </c>
      <c r="O13" s="47">
        <v>0.25346875</v>
      </c>
      <c r="P13" s="46">
        <f t="shared" si="10"/>
        <v>4.56243750000003</v>
      </c>
      <c r="Q13" s="52" t="s">
        <v>34</v>
      </c>
    </row>
    <row r="14" ht="32" customHeight="1" spans="1:18">
      <c r="A14" s="42"/>
      <c r="B14" s="36" t="s">
        <v>26</v>
      </c>
      <c r="C14" s="43">
        <v>1678.25</v>
      </c>
      <c r="D14" s="43">
        <v>1790.06</v>
      </c>
      <c r="E14" s="44">
        <f t="shared" si="6"/>
        <v>111.81</v>
      </c>
      <c r="F14" s="44">
        <v>40</v>
      </c>
      <c r="G14" s="44">
        <f t="shared" si="7"/>
        <v>4472.4</v>
      </c>
      <c r="H14" s="45"/>
      <c r="I14" s="43">
        <v>546.67</v>
      </c>
      <c r="J14" s="43">
        <v>620.34</v>
      </c>
      <c r="K14" s="46">
        <f t="shared" si="8"/>
        <v>73.6700000000001</v>
      </c>
      <c r="L14" s="46">
        <v>40</v>
      </c>
      <c r="M14" s="46">
        <f t="shared" si="9"/>
        <v>2946.8</v>
      </c>
      <c r="N14" s="46">
        <f t="shared" si="4"/>
        <v>1525.59999999999</v>
      </c>
      <c r="O14" s="44"/>
      <c r="P14" s="46">
        <f>SUM(P10:P13)</f>
        <v>1512.5370975</v>
      </c>
      <c r="Q14" s="40" t="s">
        <v>35</v>
      </c>
    </row>
    <row r="15" ht="22" customHeight="1" spans="1:18">
      <c r="A15" s="50"/>
      <c r="B15" s="36"/>
      <c r="C15" s="44"/>
      <c r="D15" s="44"/>
      <c r="E15" s="54" t="s">
        <v>36</v>
      </c>
      <c r="F15" s="54"/>
      <c r="G15" s="54">
        <f>G8+G14</f>
        <v>17874.4</v>
      </c>
      <c r="H15" s="54"/>
      <c r="I15" s="54"/>
      <c r="J15" s="54"/>
      <c r="K15" s="55"/>
      <c r="L15" s="55"/>
      <c r="M15" s="55">
        <f>SUM(M4:M14)</f>
        <v>20459.2</v>
      </c>
      <c r="N15" s="55">
        <f>N14+N8</f>
        <v>7645.19999999997</v>
      </c>
      <c r="O15" s="56"/>
      <c r="P15" s="57">
        <f>P14+P8</f>
        <v>7608.640245</v>
      </c>
      <c r="Q15" s="40" t="s">
        <v>37</v>
      </c>
    </row>
    <row r="16" customHeight="1" spans="1:18">
      <c r="A16" s="58" t="s">
        <v>38</v>
      </c>
      <c r="B16" s="58"/>
      <c r="C16" s="59"/>
      <c r="D16" s="59"/>
      <c r="E16" s="60"/>
      <c r="F16" s="60"/>
      <c r="G16" s="60"/>
      <c r="H16" s="60"/>
      <c r="I16" s="59"/>
      <c r="J16" s="59"/>
      <c r="K16" s="58"/>
      <c r="L16" s="58"/>
      <c r="M16" s="58"/>
      <c r="N16" s="58"/>
      <c r="O16" s="26">
        <f>P15*0.98</f>
        <v>7456.4674401</v>
      </c>
      <c r="P16" s="61"/>
    </row>
    <row r="17" ht="15" customHeight="1" spans="1:12">
      <c r="A17" s="62"/>
      <c r="B17" s="62"/>
      <c r="C17" s="63"/>
      <c r="D17" s="63"/>
      <c r="E17" s="64"/>
      <c r="F17" s="64"/>
      <c r="G17" s="64"/>
      <c r="H17" s="64"/>
      <c r="I17" s="63"/>
      <c r="J17" s="63"/>
      <c r="K17" s="62"/>
      <c r="L17" s="62"/>
    </row>
    <row r="18" ht="15" customHeight="1" spans="1:12">
      <c r="A18" s="62"/>
      <c r="B18" s="62"/>
      <c r="C18" s="63"/>
      <c r="D18" s="63"/>
      <c r="E18" s="64"/>
      <c r="F18" s="64"/>
      <c r="G18" s="64"/>
      <c r="H18" s="64"/>
      <c r="I18" s="63"/>
      <c r="J18" s="63"/>
      <c r="K18" s="62"/>
      <c r="L18" s="62"/>
    </row>
  </sheetData>
  <mergeCells count="18">
    <mergeCell ref="A1:P1"/>
    <mergeCell ref="A2:G2"/>
    <mergeCell ref="I2:M2"/>
    <mergeCell ref="A16:N16"/>
    <mergeCell ref="O16:P16"/>
    <mergeCell ref="A17:L17"/>
    <mergeCell ref="A18:L18"/>
    <mergeCell ref="A6:A7"/>
    <mergeCell ref="A11:A12"/>
    <mergeCell ref="A13:A14"/>
    <mergeCell ref="H4:H7"/>
    <mergeCell ref="H10:H13"/>
    <mergeCell ref="N2:N3"/>
    <mergeCell ref="O2:O3"/>
    <mergeCell ref="P2:P3"/>
    <mergeCell ref="Q3:Q4"/>
    <mergeCell ref="Q10:Q11"/>
    <mergeCell ref="R3:R4"/>
  </mergeCells>
  <pageMargins left="0.118055555555556" right="0.0861111111111111" top="0.724305555555556" bottom="0.550694444444444" header="0.314583333333333" footer="0.314583333333333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view="pageBreakPreview" zoomScale="40" zoomScaleNormal="85" workbookViewId="0">
      <selection activeCell="F7" sqref="F7"/>
    </sheetView>
  </sheetViews>
  <sheetFormatPr defaultColWidth="15.6" defaultRowHeight="27.75" customHeight="1"/>
  <cols>
    <col min="1" max="1" width="27.725" style="1" customWidth="1"/>
    <col min="2" max="2" width="29.0833333333333" style="1" customWidth="1"/>
    <col min="3" max="3" width="40.2166666666667" style="2" customWidth="1"/>
    <col min="4" max="4" width="28.8666666666667" style="1" customWidth="1"/>
    <col min="5" max="5" width="40.225" style="2" customWidth="1"/>
    <col min="6" max="6" width="15.7083333333333" style="2" customWidth="1"/>
    <col min="7" max="7" width="13.3833333333333" style="2" customWidth="1"/>
    <col min="8" max="8" width="19.5416666666667" style="3" customWidth="1"/>
    <col min="9" max="9" width="19.6416666666667" style="3" customWidth="1"/>
    <col min="10" max="10" width="14.45" style="2" customWidth="1"/>
    <col min="11" max="11" width="7.93333333333333" style="4" customWidth="1"/>
    <col min="12" max="12" width="9.40833333333333" style="5" customWidth="1"/>
    <col min="13" max="13" width="9.55833333333333" style="5" customWidth="1"/>
    <col min="14" max="14" width="11.25" style="6" customWidth="1"/>
    <col min="15" max="15" width="11.0583333333333" style="4" customWidth="1"/>
    <col min="16" max="16" width="12.1416666666667" style="5" customWidth="1"/>
    <col min="17" max="17" width="13.75" style="5" customWidth="1"/>
    <col min="18" max="16384" width="15.6" style="5"/>
  </cols>
  <sheetData>
    <row r="1" ht="57" customHeight="1" spans="1:17">
      <c r="A1" s="7" t="s">
        <v>40</v>
      </c>
      <c r="B1" s="7"/>
      <c r="C1" s="7"/>
      <c r="D1" s="7"/>
      <c r="E1" s="7"/>
      <c r="F1" s="7"/>
      <c r="G1" s="7"/>
      <c r="H1" s="8"/>
      <c r="I1" s="8"/>
      <c r="J1" s="7"/>
      <c r="K1" s="9"/>
      <c r="L1" s="9"/>
      <c r="M1" s="9"/>
      <c r="N1" s="9"/>
      <c r="O1" s="9"/>
      <c r="P1" s="9"/>
      <c r="Q1" s="9"/>
    </row>
    <row r="2" customHeight="1" spans="1:17">
      <c r="A2" s="10" t="s">
        <v>41</v>
      </c>
      <c r="B2" s="10" t="s">
        <v>42</v>
      </c>
      <c r="C2" s="10" t="s">
        <v>43</v>
      </c>
      <c r="D2" s="10" t="s">
        <v>13</v>
      </c>
      <c r="E2" s="10" t="s">
        <v>44</v>
      </c>
      <c r="F2" s="11" t="s">
        <v>45</v>
      </c>
      <c r="G2" s="11" t="s">
        <v>46</v>
      </c>
      <c r="H2" s="12" t="s">
        <v>3</v>
      </c>
      <c r="I2" s="13" t="s">
        <v>5</v>
      </c>
      <c r="J2" s="14" t="s">
        <v>47</v>
      </c>
    </row>
    <row r="3" ht="80" customHeight="1" spans="1:17">
      <c r="A3" s="15" t="str">
        <f>[1]鑫海盈印刷包装202502!A4</f>
        <v>用户号：'0950000880022175</v>
      </c>
      <c r="B3" s="15" t="str">
        <f>[1]供电局抄表记录2月!A3</f>
        <v>0950050038124248</v>
      </c>
      <c r="C3" s="16" t="str">
        <f>[1]供电局抄表记录2月!B3</f>
        <v>09001SF00000042207348995</v>
      </c>
      <c r="D3" s="17" t="str">
        <f>[1]供电局抄表记录2月!A4</f>
        <v>0950050038400663</v>
      </c>
      <c r="E3" s="16" t="str">
        <f>[1]供电局抄表记录2月!B4</f>
        <v>09001SF00000041804265458</v>
      </c>
      <c r="F3" s="16">
        <f>鑫海盈印刷包装20261月!G8</f>
        <v>17026</v>
      </c>
      <c r="G3" s="16">
        <f>鑫海盈印刷包装20261月!M8</f>
        <v>2180.8</v>
      </c>
      <c r="H3" s="18">
        <f>鑫海盈印刷包装20261月!N8</f>
        <v>14845.2</v>
      </c>
      <c r="I3" s="18">
        <f>鑫海盈印刷包装20261月!P8</f>
        <v>13136.7823275</v>
      </c>
      <c r="J3" s="16"/>
    </row>
    <row r="4" ht="80" customHeight="1" spans="1:17">
      <c r="A4" s="15" t="str">
        <f>[1]鑫海盈印刷包装202502!A13</f>
        <v>用户号：0950000048227895</v>
      </c>
      <c r="B4" s="15" t="str">
        <f>[1]供电局抄表记录2月!A5</f>
        <v>0950050038007239</v>
      </c>
      <c r="C4" s="16" t="str">
        <f>[1]供电局抄表记录2月!B5</f>
        <v>09001SF00000042207348997</v>
      </c>
      <c r="D4" s="17" t="str">
        <f>[1]供电局抄表记录2月!A6</f>
        <v>0950050038475391</v>
      </c>
      <c r="E4" s="16" t="str">
        <f>[1]供电局抄表记录2月!B6</f>
        <v>09001SF00000042107007793</v>
      </c>
      <c r="F4" s="16">
        <f>鑫海盈印刷包装20261月!G14</f>
        <v>5932</v>
      </c>
      <c r="G4" s="16">
        <f>鑫海盈印刷包装20261月!M14</f>
        <v>2106</v>
      </c>
      <c r="H4" s="18">
        <f>鑫海盈印刷包装20261月!N14</f>
        <v>3826</v>
      </c>
      <c r="I4" s="18">
        <f>鑫海盈印刷包装20261月!P14</f>
        <v>3363.2700525</v>
      </c>
      <c r="J4" s="16"/>
    </row>
    <row r="5" ht="80" customHeight="1" spans="1:17">
      <c r="A5" s="19" t="s">
        <v>36</v>
      </c>
      <c r="B5" s="15"/>
      <c r="C5" s="15"/>
      <c r="D5" s="15"/>
      <c r="E5" s="15"/>
      <c r="F5" s="16">
        <f>SUM(F3:F4)</f>
        <v>22958</v>
      </c>
      <c r="G5" s="16">
        <f>SUM(G3:G4)</f>
        <v>4286.8</v>
      </c>
      <c r="H5" s="18">
        <f>SUM(H3:H4)</f>
        <v>18671.2</v>
      </c>
      <c r="I5" s="18">
        <f>SUM(I3:I4)</f>
        <v>16500.05238</v>
      </c>
      <c r="J5" s="16"/>
    </row>
    <row r="6" ht="57" customHeight="1" spans="1:17">
      <c r="A6" s="7" t="s">
        <v>48</v>
      </c>
      <c r="B6" s="7"/>
      <c r="C6" s="7"/>
      <c r="D6" s="7"/>
      <c r="E6" s="7"/>
      <c r="F6" s="7"/>
      <c r="G6" s="7"/>
      <c r="H6" s="8"/>
      <c r="I6" s="8"/>
      <c r="J6" s="7"/>
      <c r="K6" s="9"/>
      <c r="L6" s="9"/>
      <c r="M6" s="9"/>
      <c r="N6" s="9"/>
      <c r="O6" s="9"/>
      <c r="P6" s="9"/>
      <c r="Q6" s="9"/>
    </row>
    <row r="7" ht="80" customHeight="1" spans="1:17">
      <c r="A7" s="15" t="str" cm="1">
        <f t="array" ref="A7:E8">A3:E4</f>
        <v>用户号：'0950000880022175</v>
      </c>
      <c r="B7" s="15" t="str">
        <v>0950050038124248</v>
      </c>
      <c r="C7" s="16" t="str">
        <v>09001SF00000042207348995</v>
      </c>
      <c r="D7" s="17" t="str">
        <v>0950050038400663</v>
      </c>
      <c r="E7" s="16" t="str">
        <v>09001SF00000041804265458</v>
      </c>
      <c r="F7" s="16">
        <f>鑫海盈印刷包装20262月!G8</f>
        <v>13402</v>
      </c>
      <c r="G7" s="16">
        <f>鑫海盈印刷包装20262月!M8</f>
        <v>7282.4</v>
      </c>
      <c r="H7" s="18">
        <f>鑫海盈印刷包装20262月!N8</f>
        <v>6119.59999999998</v>
      </c>
      <c r="I7" s="18">
        <f>鑫海盈印刷包装20262月!P8</f>
        <v>6096.10314749999</v>
      </c>
      <c r="J7" s="16"/>
    </row>
    <row r="8" ht="80" customHeight="1" spans="1:17">
      <c r="A8" s="15" t="str">
        <v>用户号：0950000048227895</v>
      </c>
      <c r="B8" s="15" t="str">
        <v>0950050038007239</v>
      </c>
      <c r="C8" s="16" t="str">
        <v>09001SF00000042207348997</v>
      </c>
      <c r="D8" s="17" t="str">
        <v>0950050038475391</v>
      </c>
      <c r="E8" s="16" t="str">
        <v>09001SF00000042107007793</v>
      </c>
      <c r="F8" s="16">
        <f>鑫海盈印刷包装20262月!G14</f>
        <v>4472.4</v>
      </c>
      <c r="G8" s="16">
        <f>鑫海盈印刷包装20262月!M14</f>
        <v>2946.8</v>
      </c>
      <c r="H8" s="18">
        <f>鑫海盈印刷包装20262月!N14</f>
        <v>1525.59999999999</v>
      </c>
      <c r="I8" s="18">
        <f>鑫海盈印刷包装20262月!P14</f>
        <v>1512.5370975</v>
      </c>
      <c r="J8" s="16"/>
    </row>
    <row r="9" ht="80" customHeight="1" spans="1:17">
      <c r="A9" s="19" t="s">
        <v>36</v>
      </c>
      <c r="B9" s="15"/>
      <c r="C9" s="15"/>
      <c r="D9" s="15"/>
      <c r="E9" s="15"/>
      <c r="F9" s="16">
        <f t="shared" ref="F9:I9" si="0">SUM(F7:F8)</f>
        <v>17874.4</v>
      </c>
      <c r="G9" s="16">
        <f t="shared" si="0"/>
        <v>10229.2</v>
      </c>
      <c r="H9" s="18">
        <f t="shared" si="0"/>
        <v>7645.19999999997</v>
      </c>
      <c r="I9" s="18">
        <f t="shared" si="0"/>
        <v>7608.640245</v>
      </c>
      <c r="J9" s="16"/>
    </row>
  </sheetData>
  <mergeCells count="4">
    <mergeCell ref="A1:J1"/>
    <mergeCell ref="A5:E5"/>
    <mergeCell ref="A6:J6"/>
    <mergeCell ref="A9:E9"/>
  </mergeCells>
  <pageMargins left="0.314583333333333" right="0.145138888888889" top="0.724305555555556" bottom="0.747916666666667" header="0.314583333333333" footer="0.314583333333333"/>
  <pageSetup paperSize="9" scale="3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鑫海盈印刷包装20261月</vt:lpstr>
      <vt:lpstr>鑫海盈印刷包装20262月</vt:lpstr>
      <vt:lpstr>每月汇总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WPS_1546503816</cp:lastModifiedBy>
  <dcterms:created xsi:type="dcterms:W3CDTF">2008-09-11T17:22:00Z</dcterms:created>
  <cp:lastPrinted>2022-11-14T05:54:00Z</cp:lastPrinted>
  <dcterms:modified xsi:type="dcterms:W3CDTF">2026-03-14T01:32:25Z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