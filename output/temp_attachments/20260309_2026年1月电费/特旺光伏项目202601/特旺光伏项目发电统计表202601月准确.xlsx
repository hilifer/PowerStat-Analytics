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firstSheet="7" activeTab="10"/>
  </bookViews>
  <sheets>
    <sheet name="202504" sheetId="67" r:id="rId1"/>
    <sheet name="202505" sheetId="69" r:id="rId2"/>
    <sheet name="202504 特" sheetId="71" r:id="rId3"/>
    <sheet name="202505特旺" sheetId="70" r:id="rId4"/>
    <sheet name="202506特旺 (2)" sheetId="72" r:id="rId5"/>
    <sheet name="202507特旺 (3)" sheetId="73" r:id="rId6"/>
    <sheet name="202508特旺 (3)" sheetId="75" r:id="rId7"/>
    <sheet name="202509特旺 (2)" sheetId="74" r:id="rId8"/>
    <sheet name="202510特旺 (3)" sheetId="76" r:id="rId9"/>
    <sheet name="202511特旺 (2)" sheetId="77" r:id="rId10"/>
    <sheet name="202512特旺" sheetId="78" r:id="rId11"/>
    <sheet name="202512+修正特旺 (2)" sheetId="80" r:id="rId12"/>
    <sheet name="202601特旺 (2)" sheetId="79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<sst xmlns="http://schemas.openxmlformats.org/spreadsheetml/2006/main" count="432" uniqueCount="51">
  <si>
    <t>特旺光伏项目发电统计表（2025年4月）</t>
  </si>
  <si>
    <t>正向数据</t>
  </si>
  <si>
    <t>反向数据</t>
  </si>
  <si>
    <r>
      <rPr>
        <sz val="11"/>
        <color theme="1"/>
        <rFont val="宋体"/>
        <charset val="134"/>
      </rPr>
      <t>自发用电量/金额</t>
    </r>
    <r>
      <rPr>
        <sz val="11"/>
        <color theme="1"/>
        <rFont val="Tahoma"/>
        <charset val="134"/>
      </rPr>
      <t xml:space="preserve"> </t>
    </r>
  </si>
  <si>
    <t>供电局上网</t>
  </si>
  <si>
    <t>类别</t>
  </si>
  <si>
    <t>上月表数</t>
  </si>
  <si>
    <t>本月表数</t>
  </si>
  <si>
    <t>电表用理</t>
  </si>
  <si>
    <t>倍率</t>
  </si>
  <si>
    <t>用电量</t>
  </si>
  <si>
    <t>实际用电数</t>
  </si>
  <si>
    <t>电价</t>
  </si>
  <si>
    <t>金额</t>
  </si>
  <si>
    <t>上网电价</t>
  </si>
  <si>
    <t>上网金额</t>
  </si>
  <si>
    <t>正有功尖峰</t>
  </si>
  <si>
    <t>正有功峰</t>
  </si>
  <si>
    <t>正有功平</t>
  </si>
  <si>
    <t>正有功谷</t>
  </si>
  <si>
    <t>正有功总</t>
  </si>
  <si>
    <t>发电总量-反向数据上网电量*电价*9折。                                            折后价</t>
  </si>
  <si>
    <r>
      <rPr>
        <sz val="11"/>
        <color theme="1"/>
        <rFont val="宋体"/>
        <charset val="134"/>
      </rPr>
      <t>联系电话：</t>
    </r>
    <r>
      <rPr>
        <sz val="11"/>
        <color theme="1"/>
        <rFont val="Tahoma"/>
        <charset val="134"/>
      </rPr>
      <t>18938973683</t>
    </r>
  </si>
  <si>
    <t>制作：</t>
  </si>
  <si>
    <t>曹贤奎</t>
  </si>
  <si>
    <t>特旺光伏项目发电统计表（2025年5月）</t>
  </si>
  <si>
    <t>发电量</t>
  </si>
  <si>
    <t>9折，折后价</t>
  </si>
  <si>
    <r>
      <rPr>
        <sz val="11"/>
        <color theme="1"/>
        <rFont val="Tahoma"/>
        <charset val="134"/>
      </rPr>
      <t>4</t>
    </r>
    <r>
      <rPr>
        <sz val="11"/>
        <color theme="1"/>
        <rFont val="宋体"/>
        <charset val="134"/>
      </rPr>
      <t>月</t>
    </r>
  </si>
  <si>
    <r>
      <rPr>
        <sz val="11"/>
        <color theme="1"/>
        <rFont val="Tahoma"/>
        <charset val="134"/>
      </rPr>
      <t>5</t>
    </r>
    <r>
      <rPr>
        <sz val="11"/>
        <color theme="1"/>
        <rFont val="宋体"/>
        <charset val="134"/>
      </rPr>
      <t>月</t>
    </r>
  </si>
  <si>
    <t>上网电量</t>
  </si>
  <si>
    <t>特旺光伏项目发电统计表（2025年6月）</t>
  </si>
  <si>
    <t>特旺光伏项目发电统计表（2025年7月）</t>
  </si>
  <si>
    <t>尖峰</t>
  </si>
  <si>
    <t>峰</t>
  </si>
  <si>
    <t>平</t>
  </si>
  <si>
    <t>谷</t>
  </si>
  <si>
    <t>电量电费</t>
  </si>
  <si>
    <t>输配电费</t>
  </si>
  <si>
    <t>上网环节线损电费</t>
  </si>
  <si>
    <t>系统运行费用</t>
  </si>
  <si>
    <t>基金及附加费单价</t>
  </si>
  <si>
    <t>特旺光伏项目发电统计表（2025年8月）</t>
  </si>
  <si>
    <t>特旺光伏项目发电统计表（2025年9月）</t>
  </si>
  <si>
    <t>特旺光伏项目发电统计表（2025年10月）</t>
  </si>
  <si>
    <t>特旺光伏项目发电统计表（2025年11月）</t>
  </si>
  <si>
    <t>特旺光伏项目发电统计表（2025年12月）更正前</t>
  </si>
  <si>
    <t>特旺光伏项目发电统计表（2025年12月）更正后</t>
  </si>
  <si>
    <t>由于单价填写错误：导致少统计15043.32-9568.87=5474.45元，12月应付余款5474.45元</t>
  </si>
  <si>
    <t>特旺光伏项目发电统计表（2026年1月）</t>
  </si>
  <si>
    <t>曹贤奎2026-3-2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</si>
</sst>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_ "/>
    <numFmt numFmtId="177" formatCode="0.00_ "/>
    <numFmt numFmtId="178" formatCode="0.00000000_);[Red]\(0.00000000\)"/>
  </numFmts>
  <fonts count="45">
    <font>
      <sz val="11"/>
      <color theme="1"/>
      <name val="Tahoma"/>
      <charset val="134"/>
    </font>
    <font>
      <b/>
      <sz val="2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b/>
      <sz val="11"/>
      <color theme="1"/>
      <name val="Tahoma"/>
      <charset val="134"/>
    </font>
    <font>
      <b/>
      <sz val="11"/>
      <color theme="1"/>
      <name val="宋体"/>
      <charset val="134"/>
    </font>
    <font>
      <sz val="11"/>
      <name val="宋体"/>
      <charset val="134"/>
    </font>
    <font>
      <sz val="11"/>
      <name val="Calibri"/>
      <charset val="134"/>
    </font>
    <font>
      <sz val="11"/>
      <name val="Tahoma"/>
      <charset val="134"/>
    </font>
    <font>
      <b/>
      <sz val="11"/>
      <color rgb="FFFF0000"/>
      <name val="Tahoma"/>
      <charset val="134"/>
    </font>
    <font>
      <b/>
      <sz val="12"/>
      <name val="宋体"/>
      <charset val="134"/>
    </font>
    <font>
      <sz val="11"/>
      <color rgb="FFFF0000"/>
      <name val="Tahoma"/>
      <charset val="134"/>
    </font>
    <font>
      <sz val="11"/>
      <name val="微软雅黑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3F3F76"/>
      <name val="宋体"/>
      <charset val="134"/>
      <scheme val="minor"/>
    </font>
  </fonts>
  <fills count="4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 tint="0.39994506668294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</borders>
  <cellStyleXfs count="131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3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5" borderId="10" applyNumberFormat="0" applyAlignment="0" applyProtection="0">
      <alignment vertical="center"/>
    </xf>
    <xf numFmtId="0" fontId="24" fillId="5" borderId="9" applyNumberFormat="0" applyAlignment="0" applyProtection="0">
      <alignment vertical="center"/>
    </xf>
    <xf numFmtId="0" fontId="25" fillId="6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3" fillId="5" borderId="10" applyNumberFormat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4" fillId="5" borderId="9" applyNumberFormat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33" fillId="5" borderId="10" applyNumberFormat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34" fillId="5" borderId="9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4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3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4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39" fillId="7" borderId="0" applyNumberFormat="0" applyBorder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0" fontId="40" fillId="0" borderId="13" applyNumberFormat="0" applyFill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0" fontId="41" fillId="6" borderId="11" applyNumberFormat="0" applyAlignment="0" applyProtection="0">
      <alignment vertical="center"/>
    </xf>
    <xf numFmtId="0" fontId="41" fillId="6" borderId="11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44" fillId="4" borderId="9" applyNumberFormat="0" applyAlignment="0" applyProtection="0">
      <alignment vertical="center"/>
    </xf>
    <xf numFmtId="0" fontId="44" fillId="4" borderId="9" applyNumberFormat="0" applyAlignment="0" applyProtection="0">
      <alignment vertical="center"/>
    </xf>
    <xf numFmtId="0" fontId="13" fillId="3" borderId="6" applyNumberFormat="0" applyFont="0" applyAlignment="0" applyProtection="0">
      <alignment vertical="center"/>
    </xf>
    <xf numFmtId="0" fontId="13" fillId="3" borderId="6" applyNumberFormat="0" applyFont="0" applyAlignment="0" applyProtection="0">
      <alignment vertical="center"/>
    </xf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177" fontId="0" fillId="0" borderId="1" xfId="0" applyNumberFormat="1" applyFont="1" applyBorder="1" applyAlignment="1">
      <alignment horizontal="center" vertical="center" wrapText="1"/>
    </xf>
    <xf numFmtId="178" fontId="8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78" fontId="0" fillId="0" borderId="1" xfId="0" applyNumberForma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176" fontId="9" fillId="0" borderId="1" xfId="0" applyNumberFormat="1" applyFont="1" applyBorder="1" applyAlignment="1">
      <alignment horizontal="center" vertical="center" wrapText="1"/>
    </xf>
    <xf numFmtId="177" fontId="9" fillId="0" borderId="1" xfId="0" applyNumberFormat="1" applyFont="1" applyBorder="1" applyAlignment="1">
      <alignment horizontal="center" vertical="center" wrapText="1"/>
    </xf>
    <xf numFmtId="177" fontId="10" fillId="0" borderId="1" xfId="0" applyNumberFormat="1" applyFont="1" applyBorder="1" applyAlignment="1">
      <alignment horizontal="center" vertical="center" wrapText="1"/>
    </xf>
    <xf numFmtId="177" fontId="10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7" fillId="0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11" fillId="0" borderId="1" xfId="0" applyFont="1" applyBorder="1" applyAlignment="1">
      <alignment vertical="center"/>
    </xf>
    <xf numFmtId="177" fontId="10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78" fontId="0" fillId="0" borderId="0" xfId="0" applyNumberFormat="1" applyAlignment="1">
      <alignment horizontal="center" vertical="center" wrapText="1"/>
    </xf>
    <xf numFmtId="177" fontId="1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Font="1" applyBorder="1" applyAlignment="1">
      <alignment horizontal="center" vertical="center" wrapText="1"/>
    </xf>
    <xf numFmtId="178" fontId="11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center"/>
    </xf>
    <xf numFmtId="0" fontId="12" fillId="2" borderId="1" xfId="0" applyNumberFormat="1" applyFont="1" applyFill="1" applyBorder="1" applyAlignment="1">
      <alignment horizontal="center" vertical="center" wrapText="1"/>
    </xf>
    <xf numFmtId="177" fontId="6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/>
    <xf numFmtId="0" fontId="3" fillId="0" borderId="0" xfId="0" applyFont="1" applyAlignment="1">
      <alignment vertical="center"/>
    </xf>
  </cellXfs>
  <cellStyles count="13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输出 3" xfId="49"/>
    <cellStyle name="20% - 强调文字颜色 1 2" xfId="50"/>
    <cellStyle name="计算 2" xfId="51"/>
    <cellStyle name="60% - 强调文字颜色 2 3" xfId="52"/>
    <cellStyle name="40% - 强调文字颜色 4 2" xfId="53"/>
    <cellStyle name="20% - 强调文字颜色 5 3" xfId="54"/>
    <cellStyle name="20% - 强调文字颜色 2 3" xfId="55"/>
    <cellStyle name="40% - 强调文字颜色 1 2" xfId="56"/>
    <cellStyle name="20% - 强调文字颜色 3 3" xfId="57"/>
    <cellStyle name="40% - 强调文字颜色 2 2" xfId="58"/>
    <cellStyle name="链接单元格 3" xfId="59"/>
    <cellStyle name="20% - 强调文字颜色 6 3" xfId="60"/>
    <cellStyle name="输出 2" xfId="61"/>
    <cellStyle name="20% - 强调文字颜色 1 3" xfId="62"/>
    <cellStyle name="计算 3" xfId="63"/>
    <cellStyle name="适中 2" xfId="64"/>
    <cellStyle name="20% - 强调文字颜色 2 2" xfId="65"/>
    <cellStyle name="20% - 强调文字颜色 3 2" xfId="66"/>
    <cellStyle name="20% - 强调文字颜色 4 2" xfId="67"/>
    <cellStyle name="常规 3" xfId="68"/>
    <cellStyle name="20% - 强调文字颜色 4 3" xfId="69"/>
    <cellStyle name="20% - 强调文字颜色 5 2" xfId="70"/>
    <cellStyle name="20% - 强调文字颜色 6 2" xfId="71"/>
    <cellStyle name="40% - 强调文字颜色 1 3" xfId="72"/>
    <cellStyle name="40% - 强调文字颜色 2 3" xfId="73"/>
    <cellStyle name="40% - 强调文字颜色 3 2" xfId="74"/>
    <cellStyle name="40% - 强调文字颜色 3 3" xfId="75"/>
    <cellStyle name="40% - 强调文字颜色 4 3" xfId="76"/>
    <cellStyle name="40% - 强调文字颜色 5 2" xfId="77"/>
    <cellStyle name="40% - 强调文字颜色 5 3" xfId="78"/>
    <cellStyle name="40% - 强调文字颜色 6 2" xfId="79"/>
    <cellStyle name="40% - 强调文字颜色 6 3" xfId="80"/>
    <cellStyle name="60% - 强调文字颜色 1 2" xfId="81"/>
    <cellStyle name="60% - 强调文字颜色 1 3" xfId="82"/>
    <cellStyle name="60% - 强调文字颜色 2 2" xfId="83"/>
    <cellStyle name="60% - 强调文字颜色 3 2" xfId="84"/>
    <cellStyle name="60% - 强调文字颜色 3 3" xfId="85"/>
    <cellStyle name="60% - 强调文字颜色 4 2" xfId="86"/>
    <cellStyle name="60% - 强调文字颜色 4 3" xfId="87"/>
    <cellStyle name="60% - 强调文字颜色 5 2" xfId="88"/>
    <cellStyle name="60% - 强调文字颜色 5 3" xfId="89"/>
    <cellStyle name="60% - 强调文字颜色 6 2" xfId="90"/>
    <cellStyle name="60% - 强调文字颜色 6 3" xfId="91"/>
    <cellStyle name="标题 1 2" xfId="92"/>
    <cellStyle name="标题 1 3" xfId="93"/>
    <cellStyle name="标题 2 2" xfId="94"/>
    <cellStyle name="标题 2 3" xfId="95"/>
    <cellStyle name="标题 3 2" xfId="96"/>
    <cellStyle name="标题 3 3" xfId="97"/>
    <cellStyle name="标题 4 2" xfId="98"/>
    <cellStyle name="标题 4 3" xfId="99"/>
    <cellStyle name="差 2" xfId="100"/>
    <cellStyle name="差 3" xfId="101"/>
    <cellStyle name="好 2" xfId="102"/>
    <cellStyle name="好 3" xfId="103"/>
    <cellStyle name="汇总 2" xfId="104"/>
    <cellStyle name="汇总 3" xfId="105"/>
    <cellStyle name="货币 3" xfId="106"/>
    <cellStyle name="检查单元格 2" xfId="107"/>
    <cellStyle name="检查单元格 3" xfId="108"/>
    <cellStyle name="解释性文本 2" xfId="109"/>
    <cellStyle name="解释性文本 3" xfId="110"/>
    <cellStyle name="警告文本 2" xfId="111"/>
    <cellStyle name="警告文本 3" xfId="112"/>
    <cellStyle name="链接单元格 2" xfId="113"/>
    <cellStyle name="强调文字颜色 1 2" xfId="114"/>
    <cellStyle name="强调文字颜色 1 3" xfId="115"/>
    <cellStyle name="强调文字颜色 2 2" xfId="116"/>
    <cellStyle name="强调文字颜色 2 3" xfId="117"/>
    <cellStyle name="强调文字颜色 3 2" xfId="118"/>
    <cellStyle name="强调文字颜色 3 3" xfId="119"/>
    <cellStyle name="强调文字颜色 4 2" xfId="120"/>
    <cellStyle name="强调文字颜色 4 3" xfId="121"/>
    <cellStyle name="强调文字颜色 5 2" xfId="122"/>
    <cellStyle name="强调文字颜色 5 3" xfId="123"/>
    <cellStyle name="强调文字颜色 6 2" xfId="124"/>
    <cellStyle name="强调文字颜色 6 3" xfId="125"/>
    <cellStyle name="适中 3" xfId="126"/>
    <cellStyle name="输入 2" xfId="127"/>
    <cellStyle name="输入 3" xfId="128"/>
    <cellStyle name="注释 2" xfId="129"/>
    <cellStyle name="注释 3" xfId="130"/>
  </cellStyles>
  <tableStyles count="0" defaultTableStyle="TableStyleMedium9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zoomScale="85" zoomScaleNormal="85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6.61666666666667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5" width="11.9083333333333" customWidth="1"/>
    <col min="16" max="16" width="7.79166666666667" customWidth="1"/>
    <col min="17" max="17" width="8.375" customWidth="1"/>
    <col min="18" max="18" width="38.2333333333333" customWidth="1"/>
  </cols>
  <sheetData>
    <row r="1" ht="24" customHeight="1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1" spans="1:20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  <c r="P2" s="44" t="s">
        <v>4</v>
      </c>
      <c r="Q2" s="45"/>
    </row>
    <row r="3" ht="62" customHeight="1" spans="1:20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9" t="s">
        <v>11</v>
      </c>
      <c r="N3" s="10" t="s">
        <v>12</v>
      </c>
      <c r="O3" s="8" t="s">
        <v>13</v>
      </c>
      <c r="P3" s="46" t="s">
        <v>14</v>
      </c>
      <c r="Q3" s="46" t="s">
        <v>15</v>
      </c>
      <c r="R3" s="49"/>
      <c r="S3" s="49"/>
    </row>
    <row r="4" ht="62" customHeight="1" spans="1:20">
      <c r="A4" s="13" t="s">
        <v>16</v>
      </c>
      <c r="B4" s="17">
        <v>0</v>
      </c>
      <c r="C4" s="17">
        <v>55.63</v>
      </c>
      <c r="D4" s="17">
        <f t="shared" ref="D4:D8" si="0">C4-B4</f>
        <v>55.63</v>
      </c>
      <c r="E4" s="37">
        <v>100</v>
      </c>
      <c r="F4" s="17">
        <f>D4*E4</f>
        <v>5563</v>
      </c>
      <c r="G4" s="38"/>
      <c r="H4" s="43">
        <v>0</v>
      </c>
      <c r="I4" s="14">
        <v>0.06</v>
      </c>
      <c r="J4" s="37">
        <f t="shared" ref="J4:J8" si="1">I4-H4</f>
        <v>0.06</v>
      </c>
      <c r="K4" s="37">
        <v>1000</v>
      </c>
      <c r="L4" s="17">
        <f>J4*K4</f>
        <v>60</v>
      </c>
      <c r="M4" s="17">
        <f t="shared" ref="M4:M8" si="2">F4-L4</f>
        <v>5503</v>
      </c>
      <c r="N4" s="40">
        <f>0.696848+0.2142+0.0411+0.02766875+0.0257</f>
        <v>1.00551675</v>
      </c>
      <c r="O4" s="17">
        <f>M4*N4</f>
        <v>5533.35867525</v>
      </c>
      <c r="P4" s="47">
        <v>0.453</v>
      </c>
      <c r="Q4" s="47">
        <f t="shared" ref="Q4:Q8" si="3">P4*L4</f>
        <v>27.18</v>
      </c>
      <c r="R4" s="19"/>
      <c r="S4" s="41"/>
    </row>
    <row r="5" ht="62" customHeight="1" spans="1:20">
      <c r="A5" s="13" t="s">
        <v>17</v>
      </c>
      <c r="B5" s="17">
        <v>0</v>
      </c>
      <c r="C5" s="14">
        <v>51.3</v>
      </c>
      <c r="D5" s="17">
        <f t="shared" si="0"/>
        <v>51.3</v>
      </c>
      <c r="E5" s="37">
        <v>100</v>
      </c>
      <c r="F5" s="17">
        <f>D5*E5</f>
        <v>5130</v>
      </c>
      <c r="G5" s="38"/>
      <c r="H5" s="43">
        <v>0</v>
      </c>
      <c r="I5" s="14">
        <v>0.06</v>
      </c>
      <c r="J5" s="37">
        <f t="shared" si="1"/>
        <v>0.06</v>
      </c>
      <c r="K5" s="37">
        <v>1000</v>
      </c>
      <c r="L5" s="17">
        <f>J5*K5</f>
        <v>60</v>
      </c>
      <c r="M5" s="17">
        <f t="shared" si="2"/>
        <v>5070</v>
      </c>
      <c r="N5" s="40">
        <f>0.696848+0.2142+0.0411+0.02766875+0.0257</f>
        <v>1.00551675</v>
      </c>
      <c r="O5" s="17">
        <f>M5*N5</f>
        <v>5097.9699225</v>
      </c>
      <c r="P5" s="47">
        <v>0.453</v>
      </c>
      <c r="Q5" s="47">
        <f t="shared" si="3"/>
        <v>27.18</v>
      </c>
      <c r="R5" s="19"/>
      <c r="S5" s="41"/>
      <c r="T5" s="32"/>
    </row>
    <row r="6" ht="62" customHeight="1" spans="1:20">
      <c r="A6" s="13" t="s">
        <v>18</v>
      </c>
      <c r="B6" s="17">
        <v>0</v>
      </c>
      <c r="C6" s="14">
        <v>79.23</v>
      </c>
      <c r="D6" s="17">
        <f t="shared" si="0"/>
        <v>79.23</v>
      </c>
      <c r="E6" s="37">
        <v>100</v>
      </c>
      <c r="F6" s="17">
        <f>D6*E6</f>
        <v>7923</v>
      </c>
      <c r="G6" s="38"/>
      <c r="H6" s="43">
        <v>0</v>
      </c>
      <c r="I6" s="14">
        <v>0.14</v>
      </c>
      <c r="J6" s="37">
        <f t="shared" si="1"/>
        <v>0.14</v>
      </c>
      <c r="K6" s="37">
        <v>1000</v>
      </c>
      <c r="L6" s="17">
        <f>J6*K6</f>
        <v>140</v>
      </c>
      <c r="M6" s="17">
        <f t="shared" si="2"/>
        <v>7783</v>
      </c>
      <c r="N6" s="40">
        <f>0.40991+0.126+0.02766875+0.0151+0.0242</f>
        <v>0.60287875</v>
      </c>
      <c r="O6" s="17">
        <f>M6*N6</f>
        <v>4692.20531125</v>
      </c>
      <c r="P6" s="47">
        <v>0.453</v>
      </c>
      <c r="Q6" s="47">
        <f t="shared" si="3"/>
        <v>63.42</v>
      </c>
      <c r="R6" s="19"/>
      <c r="S6" s="41"/>
    </row>
    <row r="7" ht="62" customHeight="1" spans="1:20">
      <c r="A7" s="13" t="s">
        <v>19</v>
      </c>
      <c r="B7" s="17">
        <v>0</v>
      </c>
      <c r="C7" s="14">
        <v>7.12</v>
      </c>
      <c r="D7" s="17">
        <f t="shared" si="0"/>
        <v>7.12</v>
      </c>
      <c r="E7" s="37">
        <v>100</v>
      </c>
      <c r="F7" s="17">
        <f>D7*E7</f>
        <v>712</v>
      </c>
      <c r="G7" s="38"/>
      <c r="H7" s="43">
        <v>0</v>
      </c>
      <c r="I7" s="14">
        <v>0.01</v>
      </c>
      <c r="J7" s="37">
        <f t="shared" si="1"/>
        <v>0.01</v>
      </c>
      <c r="K7" s="37">
        <v>1000</v>
      </c>
      <c r="L7" s="17">
        <f>J7*K7</f>
        <v>10</v>
      </c>
      <c r="M7" s="17">
        <f t="shared" si="2"/>
        <v>702</v>
      </c>
      <c r="N7" s="40">
        <f>0.155766+0.0479+0.0057+0.0092+0.02766875</f>
        <v>0.24623475</v>
      </c>
      <c r="O7" s="17">
        <f>M7*N7</f>
        <v>172.8567945</v>
      </c>
      <c r="P7" s="47">
        <v>0.453</v>
      </c>
      <c r="Q7" s="47">
        <f t="shared" si="3"/>
        <v>4.53</v>
      </c>
      <c r="R7" s="19"/>
      <c r="S7" s="41"/>
    </row>
    <row r="8" ht="62" customHeight="1" spans="1:20">
      <c r="A8" s="13" t="s">
        <v>20</v>
      </c>
      <c r="B8" s="17">
        <v>0</v>
      </c>
      <c r="C8" s="17">
        <f>SUM(C4:C7)</f>
        <v>193.28</v>
      </c>
      <c r="D8" s="17">
        <v>193.29</v>
      </c>
      <c r="E8" s="37">
        <v>100</v>
      </c>
      <c r="F8" s="17">
        <f>D8*E8</f>
        <v>19329</v>
      </c>
      <c r="G8" s="38"/>
      <c r="H8" s="43">
        <v>0</v>
      </c>
      <c r="I8" s="42">
        <v>0.28</v>
      </c>
      <c r="J8" s="37">
        <f t="shared" si="1"/>
        <v>0.28</v>
      </c>
      <c r="K8" s="37">
        <v>1000</v>
      </c>
      <c r="L8" s="17">
        <f>J8*K8</f>
        <v>280</v>
      </c>
      <c r="M8" s="23">
        <f t="shared" si="2"/>
        <v>19049</v>
      </c>
      <c r="N8" s="22"/>
      <c r="O8" s="23">
        <f>SUM(O4:O7)</f>
        <v>15496.3907035</v>
      </c>
      <c r="P8" s="47">
        <v>0.453</v>
      </c>
      <c r="Q8" s="47">
        <f t="shared" si="3"/>
        <v>126.84</v>
      </c>
      <c r="R8" s="26"/>
      <c r="S8" s="26"/>
    </row>
    <row r="9" ht="36" customHeight="1" spans="1:20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13946.75163315</v>
      </c>
      <c r="P9" s="24"/>
      <c r="Q9" s="24"/>
      <c r="R9" s="26"/>
      <c r="S9" s="26"/>
    </row>
    <row r="10" ht="37" customHeight="1" spans="1:20">
      <c r="A10" s="28" t="s">
        <v>22</v>
      </c>
      <c r="B10" s="29"/>
      <c r="C10" s="29"/>
      <c r="D10" s="29"/>
      <c r="E10" s="29"/>
      <c r="O10" s="30" t="s">
        <v>23</v>
      </c>
      <c r="P10" s="30" t="s">
        <v>24</v>
      </c>
    </row>
    <row r="11" customHeight="1" spans="1:20">
      <c r="R11">
        <f>0.69589+0.2142+0.026+0.02766875+0.0445</f>
        <v>1.00825875</v>
      </c>
    </row>
    <row r="12" customHeight="1" spans="1:20">
      <c r="R12">
        <f>0.409347+0.126+0.02766875+0.0153+0.0262</f>
        <v>0.60451575</v>
      </c>
    </row>
    <row r="13" customHeight="1" spans="1:20">
      <c r="R13">
        <f>0.155552+0.0479+0.0058+0.01+0.02766875</f>
        <v>0.24692075</v>
      </c>
    </row>
    <row r="16" customHeight="1" spans="1:20">
      <c r="R16">
        <f>O8/M8</f>
        <v>0.813501533072602</v>
      </c>
    </row>
  </sheetData>
  <mergeCells count="9">
    <mergeCell ref="A1:Q1"/>
    <mergeCell ref="A2:F2"/>
    <mergeCell ref="H2:L2"/>
    <mergeCell ref="M2:O2"/>
    <mergeCell ref="P2:Q2"/>
    <mergeCell ref="A9:N9"/>
    <mergeCell ref="O9:Q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6"/>
  <sheetViews>
    <sheetView zoomScale="85" zoomScaleNormal="85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6.61666666666667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5" width="11.9083333333333" customWidth="1"/>
    <col min="16" max="16" width="7.79166666666667" customWidth="1"/>
    <col min="17" max="17" width="8.375" customWidth="1"/>
    <col min="18" max="18" width="38.2333333333333" customWidth="1"/>
  </cols>
  <sheetData>
    <row r="1" ht="24" customHeight="1" spans="1:20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1" spans="1:20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  <c r="P2" s="44" t="s">
        <v>4</v>
      </c>
      <c r="Q2" s="45"/>
    </row>
    <row r="3" ht="62" customHeight="1" spans="1:20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9" t="s">
        <v>11</v>
      </c>
      <c r="N3" s="10" t="s">
        <v>12</v>
      </c>
      <c r="O3" s="8" t="s">
        <v>13</v>
      </c>
      <c r="P3" s="46" t="s">
        <v>14</v>
      </c>
      <c r="Q3" s="46" t="s">
        <v>15</v>
      </c>
      <c r="R3" s="19"/>
      <c r="S3" s="41"/>
    </row>
    <row r="4" ht="62" customHeight="1" spans="1:20">
      <c r="A4" s="13" t="s">
        <v>16</v>
      </c>
      <c r="B4" s="17">
        <v>55.63</v>
      </c>
      <c r="C4" s="17">
        <v>124</v>
      </c>
      <c r="D4" s="17">
        <f t="shared" ref="D4:D7" si="0">C4-B4</f>
        <v>68.37</v>
      </c>
      <c r="E4" s="37">
        <v>100</v>
      </c>
      <c r="F4" s="17">
        <f t="shared" ref="F4:F8" si="1">D4*E4</f>
        <v>6837</v>
      </c>
      <c r="G4" s="38"/>
      <c r="H4" s="14">
        <v>0.06</v>
      </c>
      <c r="I4" s="14">
        <v>0.7</v>
      </c>
      <c r="J4" s="37">
        <f t="shared" ref="J4:J8" si="2">I4-H4</f>
        <v>0.64</v>
      </c>
      <c r="K4" s="37">
        <v>1000</v>
      </c>
      <c r="L4" s="17">
        <f t="shared" ref="L4:L8" si="3">J4*K4</f>
        <v>640</v>
      </c>
      <c r="M4" s="17">
        <f t="shared" ref="M4:M8" si="4">F4-L4</f>
        <v>6197</v>
      </c>
      <c r="N4" s="40">
        <v>1.00825875</v>
      </c>
      <c r="O4" s="17">
        <f t="shared" ref="O4:O7" si="5">M4*N4</f>
        <v>6248.17947375</v>
      </c>
      <c r="P4" s="47">
        <v>0.453</v>
      </c>
      <c r="Q4" s="47">
        <f t="shared" ref="Q4:Q8" si="6">P4*L4</f>
        <v>289.92</v>
      </c>
      <c r="R4" s="19"/>
      <c r="S4" s="41"/>
    </row>
    <row r="5" ht="62" customHeight="1" spans="1:20">
      <c r="A5" s="13" t="s">
        <v>17</v>
      </c>
      <c r="B5" s="14">
        <v>51.3</v>
      </c>
      <c r="C5" s="14">
        <v>119.7</v>
      </c>
      <c r="D5" s="17">
        <f t="shared" si="0"/>
        <v>68.4</v>
      </c>
      <c r="E5" s="37">
        <v>100</v>
      </c>
      <c r="F5" s="17">
        <f t="shared" si="1"/>
        <v>6840</v>
      </c>
      <c r="G5" s="38"/>
      <c r="H5" s="14">
        <v>0.06</v>
      </c>
      <c r="I5" s="14">
        <v>0.71</v>
      </c>
      <c r="J5" s="37">
        <f t="shared" si="2"/>
        <v>0.65</v>
      </c>
      <c r="K5" s="37">
        <v>1000</v>
      </c>
      <c r="L5" s="17">
        <f t="shared" si="3"/>
        <v>650</v>
      </c>
      <c r="M5" s="17">
        <f t="shared" si="4"/>
        <v>6190</v>
      </c>
      <c r="N5" s="40">
        <v>1.00825875</v>
      </c>
      <c r="O5" s="17">
        <f t="shared" si="5"/>
        <v>6241.1216625</v>
      </c>
      <c r="P5" s="47">
        <v>0.453</v>
      </c>
      <c r="Q5" s="47">
        <f t="shared" si="6"/>
        <v>294.45</v>
      </c>
      <c r="R5" s="19"/>
      <c r="S5" s="41"/>
      <c r="T5" s="32"/>
    </row>
    <row r="6" ht="62" customHeight="1" spans="1:20">
      <c r="A6" s="13" t="s">
        <v>18</v>
      </c>
      <c r="B6" s="14">
        <v>79.23</v>
      </c>
      <c r="C6" s="14">
        <v>200.24</v>
      </c>
      <c r="D6" s="17">
        <f t="shared" si="0"/>
        <v>121.01</v>
      </c>
      <c r="E6" s="37">
        <v>100</v>
      </c>
      <c r="F6" s="17">
        <f t="shared" si="1"/>
        <v>12101</v>
      </c>
      <c r="G6" s="38"/>
      <c r="H6" s="14">
        <v>0.14</v>
      </c>
      <c r="I6" s="14">
        <v>1.25</v>
      </c>
      <c r="J6" s="37">
        <f t="shared" si="2"/>
        <v>1.11</v>
      </c>
      <c r="K6" s="37">
        <v>1000</v>
      </c>
      <c r="L6" s="17">
        <f t="shared" si="3"/>
        <v>1110</v>
      </c>
      <c r="M6" s="17">
        <f t="shared" si="4"/>
        <v>10991</v>
      </c>
      <c r="N6" s="40">
        <v>0.60451575</v>
      </c>
      <c r="O6" s="17">
        <f t="shared" si="5"/>
        <v>6644.23260825</v>
      </c>
      <c r="P6" s="47">
        <v>0.453</v>
      </c>
      <c r="Q6" s="47">
        <f t="shared" si="6"/>
        <v>502.83</v>
      </c>
      <c r="R6" s="19"/>
      <c r="S6" s="41"/>
    </row>
    <row r="7" ht="62" customHeight="1" spans="1:20">
      <c r="A7" s="13" t="s">
        <v>19</v>
      </c>
      <c r="B7" s="14">
        <v>7.12</v>
      </c>
      <c r="C7" s="14">
        <v>21.72</v>
      </c>
      <c r="D7" s="17">
        <f t="shared" si="0"/>
        <v>14.6</v>
      </c>
      <c r="E7" s="37">
        <v>100</v>
      </c>
      <c r="F7" s="17">
        <f t="shared" si="1"/>
        <v>1460</v>
      </c>
      <c r="G7" s="38"/>
      <c r="H7" s="14">
        <v>0.01</v>
      </c>
      <c r="I7" s="14">
        <v>0.12</v>
      </c>
      <c r="J7" s="37">
        <f t="shared" si="2"/>
        <v>0.11</v>
      </c>
      <c r="K7" s="37">
        <v>1000</v>
      </c>
      <c r="L7" s="17">
        <f t="shared" si="3"/>
        <v>110</v>
      </c>
      <c r="M7" s="17">
        <f t="shared" si="4"/>
        <v>1350</v>
      </c>
      <c r="N7" s="40">
        <v>0.24692075</v>
      </c>
      <c r="O7" s="17">
        <f t="shared" si="5"/>
        <v>333.3430125</v>
      </c>
      <c r="P7" s="47">
        <v>0.453</v>
      </c>
      <c r="Q7" s="47">
        <f t="shared" si="6"/>
        <v>49.83</v>
      </c>
      <c r="R7" s="19"/>
      <c r="S7" s="41"/>
    </row>
    <row r="8" ht="62" customHeight="1" spans="1:20">
      <c r="A8" s="13" t="s">
        <v>20</v>
      </c>
      <c r="B8" s="17">
        <f>SUM(B4:B7)</f>
        <v>193.28</v>
      </c>
      <c r="C8" s="17">
        <f>465.67</f>
        <v>465.67</v>
      </c>
      <c r="D8" s="17">
        <v>193.29</v>
      </c>
      <c r="E8" s="37">
        <v>100</v>
      </c>
      <c r="F8" s="17">
        <f>SUM(F4:F7)</f>
        <v>27238</v>
      </c>
      <c r="G8" s="38"/>
      <c r="H8" s="42">
        <v>0.28</v>
      </c>
      <c r="I8" s="42">
        <f>2.79</f>
        <v>2.79</v>
      </c>
      <c r="J8" s="37">
        <f t="shared" si="2"/>
        <v>2.51</v>
      </c>
      <c r="K8" s="37">
        <v>1000</v>
      </c>
      <c r="L8" s="17">
        <f t="shared" si="3"/>
        <v>2510</v>
      </c>
      <c r="M8" s="23">
        <f t="shared" si="4"/>
        <v>24728</v>
      </c>
      <c r="N8" s="22"/>
      <c r="O8" s="23">
        <f>SUM(O4:O7)</f>
        <v>19466.876757</v>
      </c>
      <c r="P8" s="47">
        <v>0.453</v>
      </c>
      <c r="Q8" s="47">
        <f t="shared" si="6"/>
        <v>1137.03</v>
      </c>
      <c r="R8" s="26"/>
      <c r="S8" s="26"/>
    </row>
    <row r="9" ht="36" customHeight="1" spans="1:20">
      <c r="A9" s="24" t="s">
        <v>27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17520.1890813</v>
      </c>
      <c r="P9" s="24"/>
      <c r="Q9" s="24"/>
      <c r="R9" s="26"/>
      <c r="S9" s="26"/>
    </row>
    <row r="10" ht="37" customHeight="1" spans="1:20">
      <c r="A10" s="28" t="s">
        <v>22</v>
      </c>
      <c r="B10" s="29"/>
      <c r="C10" s="29"/>
      <c r="D10" s="29"/>
      <c r="E10" s="29"/>
      <c r="O10" s="30" t="s">
        <v>23</v>
      </c>
      <c r="P10" s="30" t="s">
        <v>24</v>
      </c>
    </row>
    <row r="11" customHeight="1" spans="1:20">
      <c r="R11">
        <f>0.69589+0.2142+0.026+0.02766875+0.0445</f>
        <v>1.00825875</v>
      </c>
    </row>
    <row r="12" customHeight="1" spans="1:20">
      <c r="R12">
        <f>0.409347+0.126+0.02766875+0.0153+0.0262</f>
        <v>0.60451575</v>
      </c>
    </row>
    <row r="13" customHeight="1" spans="1:20">
      <c r="M13" s="48" t="s">
        <v>28</v>
      </c>
      <c r="N13">
        <f>'202504 特'!O8/'202504 特'!M8</f>
        <v>0.813501533072602</v>
      </c>
      <c r="R13">
        <f>0.155552+0.0479+0.0058+0.01+0.02766875</f>
        <v>0.24692075</v>
      </c>
    </row>
    <row r="14" customHeight="1" spans="1:20">
      <c r="M14" s="48" t="s">
        <v>29</v>
      </c>
      <c r="N14">
        <f>O8/M8</f>
        <v>0.787240244136202</v>
      </c>
    </row>
    <row r="16" customHeight="1" spans="1:20">
      <c r="R16">
        <f>O8/M8</f>
        <v>0.787240244136202</v>
      </c>
    </row>
  </sheetData>
  <mergeCells count="10">
    <mergeCell ref="A1:Q1"/>
    <mergeCell ref="A2:F2"/>
    <mergeCell ref="H2:L2"/>
    <mergeCell ref="M2:O2"/>
    <mergeCell ref="P2:Q2"/>
    <mergeCell ref="R3:S3"/>
    <mergeCell ref="A9:N9"/>
    <mergeCell ref="O9:Q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zoomScale="85" zoomScaleNormal="85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6.61666666666667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4.2666666666667" customWidth="1"/>
    <col min="16" max="16" width="38.2333333333333" customWidth="1"/>
  </cols>
  <sheetData>
    <row r="1" ht="24" customHeight="1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8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62" customHeight="1" spans="1:18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9" t="s">
        <v>11</v>
      </c>
      <c r="N3" s="10" t="s">
        <v>12</v>
      </c>
      <c r="O3" s="8" t="s">
        <v>13</v>
      </c>
      <c r="P3" s="19"/>
      <c r="Q3" s="41"/>
    </row>
    <row r="4" ht="62" customHeight="1" spans="1:18">
      <c r="A4" s="13" t="s">
        <v>16</v>
      </c>
      <c r="B4" s="17">
        <v>0</v>
      </c>
      <c r="C4" s="17">
        <v>55.63</v>
      </c>
      <c r="D4" s="17">
        <f t="shared" ref="D4:D7" si="0">C4-B4</f>
        <v>55.63</v>
      </c>
      <c r="E4" s="37">
        <v>100</v>
      </c>
      <c r="F4" s="17">
        <f t="shared" ref="F4:F8" si="1">D4*E4</f>
        <v>5563</v>
      </c>
      <c r="G4" s="38"/>
      <c r="H4" s="43">
        <v>0</v>
      </c>
      <c r="I4" s="14">
        <v>0.06</v>
      </c>
      <c r="J4" s="37">
        <f t="shared" ref="J4:J8" si="2">I4-H4</f>
        <v>0.06</v>
      </c>
      <c r="K4" s="37">
        <v>1000</v>
      </c>
      <c r="L4" s="17">
        <f t="shared" ref="L4:L8" si="3">J4*K4</f>
        <v>60</v>
      </c>
      <c r="M4" s="17">
        <f t="shared" ref="M4:M8" si="4">F4-L4</f>
        <v>5503</v>
      </c>
      <c r="N4" s="40">
        <f>0.696848+0.2142+0.0411+0.02766875+0.0257</f>
        <v>1.00551675</v>
      </c>
      <c r="O4" s="17">
        <f t="shared" ref="O4:O7" si="5">M4*N4</f>
        <v>5533.35867525</v>
      </c>
      <c r="P4" s="19"/>
      <c r="Q4" s="41"/>
    </row>
    <row r="5" ht="62" customHeight="1" spans="1:18">
      <c r="A5" s="13" t="s">
        <v>17</v>
      </c>
      <c r="B5" s="17">
        <v>0</v>
      </c>
      <c r="C5" s="14">
        <v>51.3</v>
      </c>
      <c r="D5" s="17">
        <f t="shared" si="0"/>
        <v>51.3</v>
      </c>
      <c r="E5" s="37">
        <v>100</v>
      </c>
      <c r="F5" s="17">
        <f t="shared" si="1"/>
        <v>5130</v>
      </c>
      <c r="G5" s="38"/>
      <c r="H5" s="43">
        <v>0</v>
      </c>
      <c r="I5" s="14">
        <v>0.06</v>
      </c>
      <c r="J5" s="37">
        <f t="shared" si="2"/>
        <v>0.06</v>
      </c>
      <c r="K5" s="37">
        <v>1000</v>
      </c>
      <c r="L5" s="17">
        <f t="shared" si="3"/>
        <v>60</v>
      </c>
      <c r="M5" s="17">
        <f t="shared" si="4"/>
        <v>5070</v>
      </c>
      <c r="N5" s="40">
        <f>0.696848+0.2142+0.0411+0.02766875+0.0257</f>
        <v>1.00551675</v>
      </c>
      <c r="O5" s="17">
        <f t="shared" si="5"/>
        <v>5097.9699225</v>
      </c>
      <c r="P5" s="19"/>
      <c r="Q5" s="41"/>
      <c r="R5" s="32"/>
    </row>
    <row r="6" ht="62" customHeight="1" spans="1:18">
      <c r="A6" s="13" t="s">
        <v>18</v>
      </c>
      <c r="B6" s="17">
        <v>0</v>
      </c>
      <c r="C6" s="14">
        <v>79.23</v>
      </c>
      <c r="D6" s="17">
        <f t="shared" si="0"/>
        <v>79.23</v>
      </c>
      <c r="E6" s="37">
        <v>100</v>
      </c>
      <c r="F6" s="17">
        <f t="shared" si="1"/>
        <v>7923</v>
      </c>
      <c r="G6" s="38"/>
      <c r="H6" s="43">
        <v>0</v>
      </c>
      <c r="I6" s="14">
        <v>0.14</v>
      </c>
      <c r="J6" s="37">
        <f t="shared" si="2"/>
        <v>0.14</v>
      </c>
      <c r="K6" s="37">
        <v>1000</v>
      </c>
      <c r="L6" s="17">
        <f t="shared" si="3"/>
        <v>140</v>
      </c>
      <c r="M6" s="17">
        <f t="shared" si="4"/>
        <v>7783</v>
      </c>
      <c r="N6" s="40">
        <f>0.40991+0.126+0.02766875+0.0151+0.0242</f>
        <v>0.60287875</v>
      </c>
      <c r="O6" s="17">
        <f t="shared" si="5"/>
        <v>4692.20531125</v>
      </c>
      <c r="P6" s="19"/>
      <c r="Q6" s="41"/>
    </row>
    <row r="7" ht="62" customHeight="1" spans="1:18">
      <c r="A7" s="13" t="s">
        <v>19</v>
      </c>
      <c r="B7" s="17">
        <v>0</v>
      </c>
      <c r="C7" s="14">
        <v>7.12</v>
      </c>
      <c r="D7" s="17">
        <f t="shared" si="0"/>
        <v>7.12</v>
      </c>
      <c r="E7" s="37">
        <v>100</v>
      </c>
      <c r="F7" s="17">
        <f t="shared" si="1"/>
        <v>712</v>
      </c>
      <c r="G7" s="38"/>
      <c r="H7" s="43">
        <v>0</v>
      </c>
      <c r="I7" s="14">
        <v>0.01</v>
      </c>
      <c r="J7" s="37">
        <f t="shared" si="2"/>
        <v>0.01</v>
      </c>
      <c r="K7" s="37">
        <v>1000</v>
      </c>
      <c r="L7" s="17">
        <f t="shared" si="3"/>
        <v>10</v>
      </c>
      <c r="M7" s="17">
        <f t="shared" si="4"/>
        <v>702</v>
      </c>
      <c r="N7" s="40">
        <f>0.155766+0.0479+0.0057+0.0092+0.02766875</f>
        <v>0.24623475</v>
      </c>
      <c r="O7" s="17">
        <f t="shared" si="5"/>
        <v>172.8567945</v>
      </c>
      <c r="P7" s="19"/>
      <c r="Q7" s="41"/>
    </row>
    <row r="8" ht="62" customHeight="1" spans="1:18">
      <c r="A8" s="13" t="s">
        <v>20</v>
      </c>
      <c r="B8" s="17">
        <v>0</v>
      </c>
      <c r="C8" s="17">
        <f>SUM(C4:C7)</f>
        <v>193.28</v>
      </c>
      <c r="D8" s="17">
        <v>193.29</v>
      </c>
      <c r="E8" s="37">
        <v>100</v>
      </c>
      <c r="F8" s="17">
        <f t="shared" si="1"/>
        <v>19329</v>
      </c>
      <c r="G8" s="38"/>
      <c r="H8" s="43">
        <v>0</v>
      </c>
      <c r="I8" s="42">
        <v>0.28</v>
      </c>
      <c r="J8" s="37">
        <f t="shared" si="2"/>
        <v>0.28</v>
      </c>
      <c r="K8" s="37">
        <v>1000</v>
      </c>
      <c r="L8" s="17">
        <f t="shared" si="3"/>
        <v>280</v>
      </c>
      <c r="M8" s="23">
        <f t="shared" si="4"/>
        <v>19049</v>
      </c>
      <c r="N8" s="22"/>
      <c r="O8" s="23">
        <f>SUM(O4:O7)</f>
        <v>15496.3907035</v>
      </c>
      <c r="P8" s="19"/>
      <c r="Q8" s="26"/>
    </row>
    <row r="9" ht="36" customHeight="1" spans="1:18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13946.75163315</v>
      </c>
      <c r="P9" s="26"/>
      <c r="Q9" s="26"/>
    </row>
    <row r="10" ht="37" customHeight="1" spans="1:18">
      <c r="A10" s="28" t="s">
        <v>22</v>
      </c>
      <c r="B10" s="29"/>
      <c r="C10" s="29"/>
      <c r="D10" s="29"/>
      <c r="E10" s="29"/>
      <c r="N10" s="30" t="s">
        <v>23</v>
      </c>
      <c r="O10" s="30" t="s">
        <v>24</v>
      </c>
    </row>
    <row r="11" customHeight="1" spans="1:18">
      <c r="P11">
        <f>0.69589+0.2142+0.026+0.02766875+0.0445</f>
        <v>1.00825875</v>
      </c>
    </row>
    <row r="12" customHeight="1" spans="1:18">
      <c r="P12">
        <f>0.409347+0.126+0.02766875+0.0153+0.0262</f>
        <v>0.60451575</v>
      </c>
    </row>
    <row r="13" customHeight="1" spans="1:18">
      <c r="P13">
        <f>0.155552+0.0479+0.0058+0.01+0.02766875</f>
        <v>0.24692075</v>
      </c>
    </row>
    <row r="16" customHeight="1" spans="1:18">
      <c r="P16">
        <f>O8/M8</f>
        <v>0.813501533072602</v>
      </c>
    </row>
  </sheetData>
  <mergeCells count="8">
    <mergeCell ref="A1:O1"/>
    <mergeCell ref="A2:F2"/>
    <mergeCell ref="H2:L2"/>
    <mergeCell ref="M2:O2"/>
    <mergeCell ref="P3:Q3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6"/>
  <sheetViews>
    <sheetView zoomScale="85" zoomScaleNormal="85" topLeftCell="A4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6.61666666666667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6" width="38.2333333333333" customWidth="1"/>
  </cols>
  <sheetData>
    <row r="1" ht="24" customHeight="1" spans="1:18">
      <c r="A1" s="1" t="s">
        <v>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8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62" customHeight="1" spans="1:18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P3" s="19"/>
      <c r="Q3" s="41"/>
    </row>
    <row r="4" ht="62" customHeight="1" spans="1:18">
      <c r="A4" s="13" t="s">
        <v>16</v>
      </c>
      <c r="B4" s="17">
        <v>55.63</v>
      </c>
      <c r="C4" s="17">
        <v>124</v>
      </c>
      <c r="D4" s="17">
        <f t="shared" ref="D4:D7" si="0">C4-B4</f>
        <v>68.37</v>
      </c>
      <c r="E4" s="37">
        <v>100</v>
      </c>
      <c r="F4" s="17">
        <f t="shared" ref="F4:F8" si="1">D4*E4</f>
        <v>6837</v>
      </c>
      <c r="G4" s="38"/>
      <c r="H4" s="14">
        <v>0.06</v>
      </c>
      <c r="I4" s="14">
        <v>0.7</v>
      </c>
      <c r="J4" s="37">
        <f t="shared" ref="J4:J8" si="2">I4-H4</f>
        <v>0.64</v>
      </c>
      <c r="K4" s="37">
        <v>1000</v>
      </c>
      <c r="L4" s="17">
        <f t="shared" ref="L4:L8" si="3">J4*K4</f>
        <v>640</v>
      </c>
      <c r="M4" s="17">
        <f t="shared" ref="M4:M8" si="4">F4-L4</f>
        <v>6197</v>
      </c>
      <c r="N4" s="40">
        <v>1.00825875</v>
      </c>
      <c r="O4" s="17">
        <f t="shared" ref="O4:O7" si="5">M4*N4</f>
        <v>6248.17947375</v>
      </c>
      <c r="P4" s="19"/>
      <c r="Q4" s="41"/>
    </row>
    <row r="5" ht="62" customHeight="1" spans="1:18">
      <c r="A5" s="13" t="s">
        <v>17</v>
      </c>
      <c r="B5" s="14">
        <v>51.3</v>
      </c>
      <c r="C5" s="14">
        <v>119.7</v>
      </c>
      <c r="D5" s="17">
        <f t="shared" si="0"/>
        <v>68.4</v>
      </c>
      <c r="E5" s="37">
        <v>100</v>
      </c>
      <c r="F5" s="17">
        <f t="shared" si="1"/>
        <v>6840</v>
      </c>
      <c r="G5" s="38"/>
      <c r="H5" s="14">
        <v>0.06</v>
      </c>
      <c r="I5" s="14">
        <v>0.71</v>
      </c>
      <c r="J5" s="37">
        <f t="shared" si="2"/>
        <v>0.65</v>
      </c>
      <c r="K5" s="37">
        <v>1000</v>
      </c>
      <c r="L5" s="17">
        <f t="shared" si="3"/>
        <v>650</v>
      </c>
      <c r="M5" s="17">
        <f t="shared" si="4"/>
        <v>6190</v>
      </c>
      <c r="N5" s="40">
        <v>1.00825875</v>
      </c>
      <c r="O5" s="17">
        <f t="shared" si="5"/>
        <v>6241.1216625</v>
      </c>
      <c r="P5" s="19"/>
      <c r="Q5" s="41"/>
      <c r="R5" s="32"/>
    </row>
    <row r="6" ht="62" customHeight="1" spans="1:18">
      <c r="A6" s="13" t="s">
        <v>18</v>
      </c>
      <c r="B6" s="14">
        <v>79.23</v>
      </c>
      <c r="C6" s="14">
        <v>200.24</v>
      </c>
      <c r="D6" s="17">
        <f t="shared" si="0"/>
        <v>121.01</v>
      </c>
      <c r="E6" s="37">
        <v>100</v>
      </c>
      <c r="F6" s="17">
        <f t="shared" si="1"/>
        <v>12101</v>
      </c>
      <c r="G6" s="38"/>
      <c r="H6" s="14">
        <v>0.14</v>
      </c>
      <c r="I6" s="14">
        <v>1.25</v>
      </c>
      <c r="J6" s="37">
        <f t="shared" si="2"/>
        <v>1.11</v>
      </c>
      <c r="K6" s="37">
        <v>1000</v>
      </c>
      <c r="L6" s="17">
        <f t="shared" si="3"/>
        <v>1110</v>
      </c>
      <c r="M6" s="17">
        <f t="shared" si="4"/>
        <v>10991</v>
      </c>
      <c r="N6" s="40">
        <v>0.60451575</v>
      </c>
      <c r="O6" s="17">
        <f t="shared" si="5"/>
        <v>6644.23260825</v>
      </c>
      <c r="P6" s="19"/>
      <c r="Q6" s="41"/>
    </row>
    <row r="7" ht="62" customHeight="1" spans="1:18">
      <c r="A7" s="13" t="s">
        <v>19</v>
      </c>
      <c r="B7" s="14">
        <v>7.12</v>
      </c>
      <c r="C7" s="14">
        <v>21.72</v>
      </c>
      <c r="D7" s="17">
        <f t="shared" si="0"/>
        <v>14.6</v>
      </c>
      <c r="E7" s="37">
        <v>100</v>
      </c>
      <c r="F7" s="17">
        <f t="shared" si="1"/>
        <v>1460</v>
      </c>
      <c r="G7" s="38"/>
      <c r="H7" s="14">
        <v>0.01</v>
      </c>
      <c r="I7" s="14">
        <v>0.12</v>
      </c>
      <c r="J7" s="37">
        <f t="shared" si="2"/>
        <v>0.11</v>
      </c>
      <c r="K7" s="37">
        <v>1000</v>
      </c>
      <c r="L7" s="17">
        <f t="shared" si="3"/>
        <v>110</v>
      </c>
      <c r="M7" s="17">
        <v>1350</v>
      </c>
      <c r="N7" s="40">
        <v>0.24692075</v>
      </c>
      <c r="O7" s="17">
        <f t="shared" si="5"/>
        <v>333.3430125</v>
      </c>
      <c r="P7" s="19"/>
      <c r="Q7" s="41"/>
    </row>
    <row r="8" ht="62" customHeight="1" spans="1:18">
      <c r="A8" s="13" t="s">
        <v>20</v>
      </c>
      <c r="B8" s="17">
        <f>SUM(B4:B7)</f>
        <v>193.28</v>
      </c>
      <c r="C8" s="17">
        <f>465.67</f>
        <v>465.67</v>
      </c>
      <c r="D8" s="17">
        <v>193.29</v>
      </c>
      <c r="E8" s="37">
        <v>100</v>
      </c>
      <c r="F8" s="17">
        <f>SUM(F4:F7)</f>
        <v>27238</v>
      </c>
      <c r="G8" s="38"/>
      <c r="H8" s="42">
        <v>0.28</v>
      </c>
      <c r="I8" s="42">
        <f>2.79</f>
        <v>2.79</v>
      </c>
      <c r="J8" s="37">
        <f t="shared" si="2"/>
        <v>2.51</v>
      </c>
      <c r="K8" s="37">
        <v>1000</v>
      </c>
      <c r="L8" s="17">
        <f t="shared" si="3"/>
        <v>2510</v>
      </c>
      <c r="M8" s="23">
        <f>SUM(M4:M7)</f>
        <v>24728</v>
      </c>
      <c r="N8" s="22"/>
      <c r="O8" s="23">
        <f>SUM(O4:O7)</f>
        <v>19466.876757</v>
      </c>
      <c r="P8" s="19"/>
      <c r="Q8" s="41"/>
    </row>
    <row r="9" ht="36" customHeight="1" spans="1:18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17520.1890813</v>
      </c>
      <c r="P9" s="26"/>
      <c r="Q9" s="26"/>
    </row>
    <row r="10" ht="37" customHeight="1" spans="1:18">
      <c r="A10" s="28" t="s">
        <v>22</v>
      </c>
      <c r="B10" s="29"/>
      <c r="C10" s="29"/>
      <c r="D10" s="29"/>
      <c r="E10" s="29"/>
      <c r="N10" s="30" t="s">
        <v>23</v>
      </c>
      <c r="O10" s="30" t="s">
        <v>24</v>
      </c>
    </row>
    <row r="11" customHeight="1" spans="1:18">
      <c r="P11">
        <f>0.69589+0.2142+0.026+0.02766875+0.0445</f>
        <v>1.00825875</v>
      </c>
    </row>
    <row r="12" customHeight="1" spans="1:18">
      <c r="P12">
        <f>0.409347+0.126+0.02766875+0.0153+0.0262</f>
        <v>0.60451575</v>
      </c>
    </row>
    <row r="13" customHeight="1" spans="1:18">
      <c r="P13">
        <f>0.155552+0.0479+0.0058+0.01+0.02766875</f>
        <v>0.24692075</v>
      </c>
    </row>
    <row r="14" customHeight="1" spans="1:18">
      <c r="M14">
        <f>O8/M8</f>
        <v>0.787240244136202</v>
      </c>
    </row>
    <row r="16" customHeight="1" spans="1:18">
      <c r="P16">
        <f>O8/M8</f>
        <v>0.787240244136202</v>
      </c>
    </row>
  </sheetData>
  <mergeCells count="8">
    <mergeCell ref="A1:O1"/>
    <mergeCell ref="A2:F2"/>
    <mergeCell ref="H2:L2"/>
    <mergeCell ref="M2:O2"/>
    <mergeCell ref="P3:Q3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zoomScale="85" zoomScaleNormal="85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6.61666666666667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6" width="38.2333333333333" customWidth="1"/>
  </cols>
  <sheetData>
    <row r="1" ht="24" customHeight="1" spans="1:18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18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62" customHeight="1" spans="1:18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P3" s="19"/>
      <c r="Q3" s="41"/>
    </row>
    <row r="4" ht="62" customHeight="1" spans="1:18">
      <c r="A4" s="13" t="s">
        <v>16</v>
      </c>
      <c r="B4" s="17">
        <v>124</v>
      </c>
      <c r="C4" s="14">
        <v>207.29</v>
      </c>
      <c r="D4" s="17">
        <f t="shared" ref="D4:D7" si="0">C4-B4</f>
        <v>83.29</v>
      </c>
      <c r="E4" s="37">
        <v>100</v>
      </c>
      <c r="F4" s="17">
        <f t="shared" ref="F4:F7" si="1">D4*E4</f>
        <v>8329</v>
      </c>
      <c r="G4" s="38"/>
      <c r="H4" s="14">
        <v>0.7</v>
      </c>
      <c r="I4" s="14">
        <v>1.28</v>
      </c>
      <c r="J4" s="37">
        <f t="shared" ref="J4:J8" si="2">I4-H4</f>
        <v>0.58</v>
      </c>
      <c r="K4" s="37">
        <v>1000</v>
      </c>
      <c r="L4" s="17">
        <f t="shared" ref="L4:L8" si="3">J4*K4</f>
        <v>580</v>
      </c>
      <c r="M4" s="17">
        <f t="shared" ref="M4:M6" si="4">F4-L4</f>
        <v>7749</v>
      </c>
      <c r="N4" s="40">
        <v>1.2333235</v>
      </c>
      <c r="O4" s="17">
        <f t="shared" ref="O4:O7" si="5">M4*N4</f>
        <v>9557.0238015</v>
      </c>
      <c r="P4" s="19"/>
      <c r="Q4" s="41"/>
    </row>
    <row r="5" ht="62" customHeight="1" spans="1:18">
      <c r="A5" s="13" t="s">
        <v>17</v>
      </c>
      <c r="B5" s="14">
        <v>119.7</v>
      </c>
      <c r="C5" s="14">
        <v>200.63</v>
      </c>
      <c r="D5" s="17">
        <f t="shared" si="0"/>
        <v>80.93</v>
      </c>
      <c r="E5" s="37">
        <v>100</v>
      </c>
      <c r="F5" s="17">
        <f t="shared" si="1"/>
        <v>8093</v>
      </c>
      <c r="G5" s="38"/>
      <c r="H5" s="14">
        <v>0.71</v>
      </c>
      <c r="I5" s="14">
        <v>1.19</v>
      </c>
      <c r="J5" s="37">
        <f t="shared" si="2"/>
        <v>0.48</v>
      </c>
      <c r="K5" s="37">
        <v>1000</v>
      </c>
      <c r="L5" s="17">
        <f t="shared" si="3"/>
        <v>480</v>
      </c>
      <c r="M5" s="17">
        <f t="shared" si="4"/>
        <v>7613</v>
      </c>
      <c r="N5" s="40">
        <v>1.00168375</v>
      </c>
      <c r="O5" s="17">
        <f t="shared" si="5"/>
        <v>7625.81838875</v>
      </c>
      <c r="P5" s="19"/>
      <c r="Q5" s="41"/>
      <c r="R5" s="32"/>
    </row>
    <row r="6" ht="62" customHeight="1" spans="1:18">
      <c r="A6" s="13" t="s">
        <v>18</v>
      </c>
      <c r="B6" s="14">
        <v>200.24</v>
      </c>
      <c r="C6" s="14">
        <v>334.22</v>
      </c>
      <c r="D6" s="17">
        <f t="shared" si="0"/>
        <v>133.98</v>
      </c>
      <c r="E6" s="37">
        <v>100</v>
      </c>
      <c r="F6" s="17">
        <f t="shared" si="1"/>
        <v>13398</v>
      </c>
      <c r="G6" s="38"/>
      <c r="H6" s="14">
        <v>1.25</v>
      </c>
      <c r="I6" s="14">
        <v>2.4</v>
      </c>
      <c r="J6" s="37">
        <f t="shared" si="2"/>
        <v>1.15</v>
      </c>
      <c r="K6" s="37">
        <v>1000</v>
      </c>
      <c r="L6" s="17">
        <f t="shared" si="3"/>
        <v>1150</v>
      </c>
      <c r="M6" s="17">
        <f t="shared" si="4"/>
        <v>12248</v>
      </c>
      <c r="N6" s="40">
        <v>0.60062475</v>
      </c>
      <c r="O6" s="17">
        <f t="shared" si="5"/>
        <v>7356.451938</v>
      </c>
      <c r="P6" s="19"/>
      <c r="Q6" s="41"/>
    </row>
    <row r="7" ht="62" customHeight="1" spans="1:18">
      <c r="A7" s="13" t="s">
        <v>19</v>
      </c>
      <c r="B7" s="14">
        <v>21.72</v>
      </c>
      <c r="C7" s="14">
        <v>38.31</v>
      </c>
      <c r="D7" s="17">
        <f t="shared" si="0"/>
        <v>16.59</v>
      </c>
      <c r="E7" s="37">
        <v>100</v>
      </c>
      <c r="F7" s="17">
        <f t="shared" si="1"/>
        <v>1659</v>
      </c>
      <c r="G7" s="38"/>
      <c r="H7" s="14">
        <v>0.12</v>
      </c>
      <c r="I7" s="14">
        <v>0.21</v>
      </c>
      <c r="J7" s="37">
        <f t="shared" si="2"/>
        <v>0.09</v>
      </c>
      <c r="K7" s="37">
        <v>1000</v>
      </c>
      <c r="L7" s="17">
        <f t="shared" si="3"/>
        <v>90</v>
      </c>
      <c r="M7" s="17">
        <v>1350</v>
      </c>
      <c r="N7" s="40">
        <v>0.2454565</v>
      </c>
      <c r="O7" s="17">
        <f t="shared" si="5"/>
        <v>331.366275</v>
      </c>
      <c r="P7" s="19"/>
      <c r="Q7" s="41"/>
    </row>
    <row r="8" ht="62" customHeight="1" spans="1:18">
      <c r="A8" s="13" t="s">
        <v>20</v>
      </c>
      <c r="B8" s="17">
        <f>465.67</f>
        <v>465.67</v>
      </c>
      <c r="C8" s="14">
        <v>780.46</v>
      </c>
      <c r="D8" s="17">
        <v>193.29</v>
      </c>
      <c r="E8" s="37">
        <v>100</v>
      </c>
      <c r="F8" s="17">
        <f>SUM(F4:F7)</f>
        <v>31479</v>
      </c>
      <c r="G8" s="38"/>
      <c r="H8" s="42">
        <f>2.79</f>
        <v>2.79</v>
      </c>
      <c r="I8" s="14">
        <v>5.1</v>
      </c>
      <c r="J8" s="37">
        <f t="shared" si="2"/>
        <v>2.31</v>
      </c>
      <c r="K8" s="37">
        <v>1000</v>
      </c>
      <c r="L8" s="17">
        <f t="shared" si="3"/>
        <v>2310</v>
      </c>
      <c r="M8" s="23">
        <f>SUM(M4:M7)</f>
        <v>28960</v>
      </c>
      <c r="N8" s="22"/>
      <c r="O8" s="23">
        <f>SUM(O4:O7)</f>
        <v>24870.66040325</v>
      </c>
      <c r="P8" s="19"/>
      <c r="Q8" s="41"/>
    </row>
    <row r="9" ht="36" customHeight="1" spans="1:18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22383.594362925</v>
      </c>
      <c r="P9" s="26"/>
      <c r="Q9" s="26"/>
    </row>
    <row r="10" ht="37" customHeight="1" spans="1:18">
      <c r="A10" s="28" t="s">
        <v>22</v>
      </c>
      <c r="B10" s="29"/>
      <c r="C10" s="29"/>
      <c r="D10" s="29"/>
      <c r="E10" s="29"/>
      <c r="N10" s="30" t="s">
        <v>23</v>
      </c>
      <c r="O10" s="30" t="s">
        <v>24</v>
      </c>
    </row>
  </sheetData>
  <mergeCells count="8">
    <mergeCell ref="A1:O1"/>
    <mergeCell ref="A2:F2"/>
    <mergeCell ref="H2:L2"/>
    <mergeCell ref="M2:O2"/>
    <mergeCell ref="P3:Q3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0"/>
  <sheetViews>
    <sheetView zoomScale="115" zoomScaleNormal="115" topLeftCell="C3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9.775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1" t="s">
        <v>32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21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62" customHeight="1" spans="1:21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Q3" s="11"/>
      <c r="R3" s="12" t="s">
        <v>33</v>
      </c>
      <c r="S3" s="12" t="s">
        <v>34</v>
      </c>
      <c r="T3" s="12" t="s">
        <v>35</v>
      </c>
      <c r="U3" s="12" t="s">
        <v>36</v>
      </c>
    </row>
    <row r="4" ht="62" customHeight="1" spans="1:21">
      <c r="A4" s="13" t="s">
        <v>16</v>
      </c>
      <c r="B4" s="14">
        <v>207.29</v>
      </c>
      <c r="C4" s="14">
        <v>295.19</v>
      </c>
      <c r="D4" s="17">
        <f t="shared" ref="D4:D7" si="0">C4-B4</f>
        <v>87.9</v>
      </c>
      <c r="E4" s="37">
        <v>100</v>
      </c>
      <c r="F4" s="17">
        <f t="shared" ref="F4:F7" si="1">D4*E4</f>
        <v>8790</v>
      </c>
      <c r="G4" s="38"/>
      <c r="H4" s="14">
        <v>1.28</v>
      </c>
      <c r="I4" s="14">
        <v>2.67</v>
      </c>
      <c r="J4" s="37">
        <f t="shared" ref="J4:J8" si="2">I4-H4</f>
        <v>1.39</v>
      </c>
      <c r="K4" s="37">
        <v>1000</v>
      </c>
      <c r="L4" s="17">
        <f t="shared" ref="L4:L8" si="3">J4*K4</f>
        <v>1390</v>
      </c>
      <c r="M4" s="17">
        <f t="shared" ref="M4:M6" si="4">F4-L4</f>
        <v>7400</v>
      </c>
      <c r="N4" s="20">
        <v>1.22741175</v>
      </c>
      <c r="O4" s="17">
        <f t="shared" ref="O4:O7" si="5">M4*N4</f>
        <v>9082.84695</v>
      </c>
      <c r="P4" s="19"/>
      <c r="Q4" s="12" t="s">
        <v>37</v>
      </c>
      <c r="R4" s="20">
        <v>0.857543</v>
      </c>
      <c r="S4" s="20">
        <v>0.696053</v>
      </c>
      <c r="T4" s="20">
        <v>0.409443</v>
      </c>
      <c r="U4" s="20">
        <v>0.155588</v>
      </c>
    </row>
    <row r="5" ht="62" customHeight="1" spans="1:21">
      <c r="A5" s="13" t="s">
        <v>17</v>
      </c>
      <c r="B5" s="14">
        <v>200.63</v>
      </c>
      <c r="C5" s="14">
        <v>289.89</v>
      </c>
      <c r="D5" s="17">
        <f t="shared" si="0"/>
        <v>89.26</v>
      </c>
      <c r="E5" s="37">
        <v>100</v>
      </c>
      <c r="F5" s="17">
        <f t="shared" si="1"/>
        <v>8926</v>
      </c>
      <c r="G5" s="38"/>
      <c r="H5" s="14">
        <v>1.19</v>
      </c>
      <c r="I5" s="14">
        <v>2.62</v>
      </c>
      <c r="J5" s="37">
        <f t="shared" si="2"/>
        <v>1.43</v>
      </c>
      <c r="K5" s="37">
        <v>1000</v>
      </c>
      <c r="L5" s="17">
        <f t="shared" si="3"/>
        <v>1430</v>
      </c>
      <c r="M5" s="17">
        <f t="shared" si="4"/>
        <v>7496</v>
      </c>
      <c r="N5" s="40">
        <v>0.99742175</v>
      </c>
      <c r="O5" s="17">
        <f t="shared" si="5"/>
        <v>7476.673438</v>
      </c>
      <c r="P5" s="19"/>
      <c r="Q5" s="12" t="s">
        <v>38</v>
      </c>
      <c r="R5" s="20">
        <v>0.2678</v>
      </c>
      <c r="S5" s="20">
        <v>0.2142</v>
      </c>
      <c r="T5" s="20">
        <v>0.126</v>
      </c>
      <c r="U5" s="20">
        <v>0.0479</v>
      </c>
    </row>
    <row r="6" ht="62" customHeight="1" spans="1:21">
      <c r="A6" s="13" t="s">
        <v>18</v>
      </c>
      <c r="B6" s="14">
        <v>334.22</v>
      </c>
      <c r="C6" s="14">
        <v>478.39</v>
      </c>
      <c r="D6" s="17">
        <f t="shared" si="0"/>
        <v>144.17</v>
      </c>
      <c r="E6" s="37">
        <v>100</v>
      </c>
      <c r="F6" s="17">
        <f t="shared" si="1"/>
        <v>14417</v>
      </c>
      <c r="G6" s="38"/>
      <c r="H6" s="14">
        <v>2.4</v>
      </c>
      <c r="I6" s="14">
        <v>4.74</v>
      </c>
      <c r="J6" s="37">
        <f t="shared" si="2"/>
        <v>2.34</v>
      </c>
      <c r="K6" s="37">
        <v>1000</v>
      </c>
      <c r="L6" s="17">
        <f t="shared" si="3"/>
        <v>2340</v>
      </c>
      <c r="M6" s="17">
        <f t="shared" si="4"/>
        <v>12077</v>
      </c>
      <c r="N6" s="40">
        <v>0.59811175</v>
      </c>
      <c r="O6" s="17">
        <f t="shared" si="5"/>
        <v>7223.39560475</v>
      </c>
      <c r="P6" s="19"/>
      <c r="Q6" s="12" t="s">
        <v>39</v>
      </c>
      <c r="R6" s="20">
        <v>0.0315</v>
      </c>
      <c r="S6" s="20">
        <v>0.0252</v>
      </c>
      <c r="T6" s="20">
        <v>0.0148</v>
      </c>
      <c r="U6" s="20">
        <v>0.0056</v>
      </c>
    </row>
    <row r="7" ht="62" customHeight="1" spans="1:21">
      <c r="A7" s="13" t="s">
        <v>19</v>
      </c>
      <c r="B7" s="14">
        <v>38.31</v>
      </c>
      <c r="C7" s="14">
        <v>53.66</v>
      </c>
      <c r="D7" s="17">
        <f t="shared" si="0"/>
        <v>15.35</v>
      </c>
      <c r="E7" s="37">
        <v>100</v>
      </c>
      <c r="F7" s="17">
        <f t="shared" si="1"/>
        <v>1535</v>
      </c>
      <c r="G7" s="38"/>
      <c r="H7" s="14">
        <v>0.21</v>
      </c>
      <c r="I7" s="14">
        <v>0.36</v>
      </c>
      <c r="J7" s="37">
        <f t="shared" si="2"/>
        <v>0.15</v>
      </c>
      <c r="K7" s="37">
        <v>1000</v>
      </c>
      <c r="L7" s="17">
        <f t="shared" si="3"/>
        <v>150</v>
      </c>
      <c r="M7" s="17">
        <v>1350</v>
      </c>
      <c r="N7" s="40">
        <v>0.23752675</v>
      </c>
      <c r="O7" s="17">
        <f t="shared" si="5"/>
        <v>320.6611125</v>
      </c>
      <c r="P7" s="19"/>
      <c r="Q7" s="12" t="s">
        <v>40</v>
      </c>
      <c r="R7" s="20">
        <v>0.0429</v>
      </c>
      <c r="S7" s="20">
        <v>0.0343</v>
      </c>
      <c r="T7" s="20">
        <v>0.0202</v>
      </c>
      <c r="U7" s="20">
        <v>0.00077</v>
      </c>
    </row>
    <row r="8" ht="62" customHeight="1" spans="1:21">
      <c r="A8" s="13" t="s">
        <v>20</v>
      </c>
      <c r="B8" s="14">
        <v>780.46</v>
      </c>
      <c r="C8" s="14">
        <v>1117.15</v>
      </c>
      <c r="D8" s="17">
        <v>193.29</v>
      </c>
      <c r="E8" s="37">
        <v>100</v>
      </c>
      <c r="F8" s="17">
        <f>SUM(F4:F7)</f>
        <v>33668</v>
      </c>
      <c r="G8" s="38"/>
      <c r="H8" s="14">
        <v>5.1</v>
      </c>
      <c r="I8" s="14">
        <v>10.4</v>
      </c>
      <c r="J8" s="37">
        <f t="shared" si="2"/>
        <v>5.3</v>
      </c>
      <c r="K8" s="37">
        <v>1000</v>
      </c>
      <c r="L8" s="17">
        <f t="shared" si="3"/>
        <v>5300</v>
      </c>
      <c r="M8" s="23">
        <f>SUM(M4:M7)</f>
        <v>28323</v>
      </c>
      <c r="N8" s="22"/>
      <c r="O8" s="23">
        <f>SUM(O4:O7)</f>
        <v>24103.57710525</v>
      </c>
      <c r="P8" s="19"/>
      <c r="Q8" s="12" t="s">
        <v>41</v>
      </c>
      <c r="R8" s="20">
        <v>0.02766875</v>
      </c>
      <c r="S8" s="20">
        <v>0.02766875</v>
      </c>
      <c r="T8" s="20">
        <v>0.02766875</v>
      </c>
      <c r="U8" s="20">
        <v>0.02766875</v>
      </c>
    </row>
    <row r="9" ht="36" customHeight="1" spans="1:21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21693.219394725</v>
      </c>
      <c r="P9" s="26"/>
      <c r="Q9" s="27"/>
      <c r="R9" s="20">
        <f>SUM(R4:R8)</f>
        <v>1.22741175</v>
      </c>
      <c r="S9" s="20">
        <f>SUM(S4:S8)</f>
        <v>0.99742175</v>
      </c>
      <c r="T9" s="20">
        <f>SUM(T4:T8)</f>
        <v>0.59811175</v>
      </c>
      <c r="U9" s="20">
        <f>SUM(U4:U8)</f>
        <v>0.23752675</v>
      </c>
    </row>
    <row r="10" ht="37" customHeight="1" spans="1:21">
      <c r="A10" s="28" t="s">
        <v>22</v>
      </c>
      <c r="B10" s="29"/>
      <c r="C10" s="29"/>
      <c r="D10" s="29"/>
      <c r="E10" s="29"/>
      <c r="N10" s="30" t="s">
        <v>23</v>
      </c>
      <c r="O10" s="30" t="s">
        <v>24</v>
      </c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zoomScale="115" zoomScaleNormal="115" topLeftCell="F4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9.775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1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21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52" customHeight="1" spans="1:21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Q3" s="11"/>
      <c r="R3" s="12" t="s">
        <v>33</v>
      </c>
      <c r="S3" s="12" t="s">
        <v>34</v>
      </c>
      <c r="T3" s="12" t="s">
        <v>35</v>
      </c>
      <c r="U3" s="12" t="s">
        <v>36</v>
      </c>
    </row>
    <row r="4" ht="52" customHeight="1" spans="1:21">
      <c r="A4" s="13" t="s">
        <v>16</v>
      </c>
      <c r="B4" s="14">
        <v>295.19</v>
      </c>
      <c r="C4" s="14">
        <v>380.79</v>
      </c>
      <c r="D4" s="17">
        <f t="shared" ref="D4:D8" si="0">C4-B4</f>
        <v>85.6</v>
      </c>
      <c r="E4" s="37">
        <v>100</v>
      </c>
      <c r="F4" s="17">
        <f t="shared" ref="F4:F8" si="1">D4*E4</f>
        <v>8560</v>
      </c>
      <c r="G4" s="38"/>
      <c r="H4" s="14">
        <v>2.67</v>
      </c>
      <c r="I4" s="14">
        <v>6.11</v>
      </c>
      <c r="J4" s="37">
        <f t="shared" ref="J4:J8" si="2">I4-H4</f>
        <v>3.44</v>
      </c>
      <c r="K4" s="37">
        <v>1000</v>
      </c>
      <c r="L4" s="17">
        <f t="shared" ref="L4:L8" si="3">J4*K4</f>
        <v>3440</v>
      </c>
      <c r="M4" s="17">
        <f>F4-L4</f>
        <v>5120</v>
      </c>
      <c r="N4" s="20">
        <v>1.22741175</v>
      </c>
      <c r="O4" s="17">
        <f t="shared" ref="O4:O7" si="4">M4*N4</f>
        <v>6284.34816</v>
      </c>
      <c r="P4" s="19"/>
      <c r="Q4" s="12" t="s">
        <v>37</v>
      </c>
      <c r="R4" s="20">
        <v>0.857543</v>
      </c>
      <c r="S4" s="20">
        <v>0.696053</v>
      </c>
      <c r="T4" s="20">
        <v>0.409443</v>
      </c>
      <c r="U4" s="20">
        <v>0.155588</v>
      </c>
    </row>
    <row r="5" ht="52" customHeight="1" spans="1:21">
      <c r="A5" s="13" t="s">
        <v>17</v>
      </c>
      <c r="B5" s="14">
        <v>289.89</v>
      </c>
      <c r="C5" s="14">
        <v>369.64</v>
      </c>
      <c r="D5" s="17">
        <f t="shared" si="0"/>
        <v>79.75</v>
      </c>
      <c r="E5" s="37">
        <v>100</v>
      </c>
      <c r="F5" s="17">
        <f t="shared" si="1"/>
        <v>7975</v>
      </c>
      <c r="G5" s="38"/>
      <c r="H5" s="14">
        <v>2.62</v>
      </c>
      <c r="I5" s="14">
        <v>5.97</v>
      </c>
      <c r="J5" s="37">
        <f t="shared" si="2"/>
        <v>3.35</v>
      </c>
      <c r="K5" s="37">
        <v>1000</v>
      </c>
      <c r="L5" s="17">
        <f t="shared" si="3"/>
        <v>3350</v>
      </c>
      <c r="M5" s="17">
        <f>F5-L5</f>
        <v>4625</v>
      </c>
      <c r="N5" s="40">
        <v>0.99742175</v>
      </c>
      <c r="O5" s="17">
        <f t="shared" si="4"/>
        <v>4613.07559375</v>
      </c>
      <c r="P5" s="19"/>
      <c r="Q5" s="12" t="s">
        <v>38</v>
      </c>
      <c r="R5" s="20">
        <v>0.2678</v>
      </c>
      <c r="S5" s="20">
        <v>0.2142</v>
      </c>
      <c r="T5" s="20">
        <v>0.126</v>
      </c>
      <c r="U5" s="20">
        <v>0.0479</v>
      </c>
    </row>
    <row r="6" ht="52" customHeight="1" spans="1:21">
      <c r="A6" s="13" t="s">
        <v>18</v>
      </c>
      <c r="B6" s="14">
        <v>478.39</v>
      </c>
      <c r="C6" s="14">
        <v>601.24</v>
      </c>
      <c r="D6" s="17">
        <f t="shared" si="0"/>
        <v>122.85</v>
      </c>
      <c r="E6" s="37">
        <v>100</v>
      </c>
      <c r="F6" s="17">
        <f t="shared" si="1"/>
        <v>12285</v>
      </c>
      <c r="G6" s="38"/>
      <c r="H6" s="14">
        <v>4.74</v>
      </c>
      <c r="I6" s="14">
        <v>10.44</v>
      </c>
      <c r="J6" s="37">
        <f t="shared" si="2"/>
        <v>5.7</v>
      </c>
      <c r="K6" s="37">
        <v>1000</v>
      </c>
      <c r="L6" s="17">
        <f t="shared" si="3"/>
        <v>5700</v>
      </c>
      <c r="M6" s="17">
        <f>F6-L6</f>
        <v>6585</v>
      </c>
      <c r="N6" s="40">
        <v>0.59811175</v>
      </c>
      <c r="O6" s="17">
        <f t="shared" si="4"/>
        <v>3938.56587375</v>
      </c>
      <c r="P6" s="19"/>
      <c r="Q6" s="12" t="s">
        <v>39</v>
      </c>
      <c r="R6" s="20">
        <v>0.0315</v>
      </c>
      <c r="S6" s="20">
        <v>0.0252</v>
      </c>
      <c r="T6" s="20">
        <v>0.0148</v>
      </c>
      <c r="U6" s="20">
        <v>0.0056</v>
      </c>
    </row>
    <row r="7" ht="52" customHeight="1" spans="1:21">
      <c r="A7" s="13" t="s">
        <v>19</v>
      </c>
      <c r="B7" s="14">
        <v>53.66</v>
      </c>
      <c r="C7" s="14">
        <v>66.36</v>
      </c>
      <c r="D7" s="17">
        <f t="shared" si="0"/>
        <v>12.7</v>
      </c>
      <c r="E7" s="37">
        <v>100</v>
      </c>
      <c r="F7" s="17">
        <f t="shared" si="1"/>
        <v>1270</v>
      </c>
      <c r="G7" s="38"/>
      <c r="H7" s="14">
        <v>0.36</v>
      </c>
      <c r="I7" s="14">
        <v>0.74</v>
      </c>
      <c r="J7" s="37">
        <f t="shared" si="2"/>
        <v>0.38</v>
      </c>
      <c r="K7" s="37">
        <v>1000</v>
      </c>
      <c r="L7" s="17">
        <f t="shared" si="3"/>
        <v>380</v>
      </c>
      <c r="M7" s="17">
        <f>F7-L7</f>
        <v>890</v>
      </c>
      <c r="N7" s="40">
        <v>0.23752675</v>
      </c>
      <c r="O7" s="17">
        <f t="shared" si="4"/>
        <v>211.3988075</v>
      </c>
      <c r="P7" s="19"/>
      <c r="Q7" s="12" t="s">
        <v>40</v>
      </c>
      <c r="R7" s="20">
        <v>0.0429</v>
      </c>
      <c r="S7" s="20">
        <v>0.0343</v>
      </c>
      <c r="T7" s="20">
        <v>0.0202</v>
      </c>
      <c r="U7" s="20">
        <v>0.00077</v>
      </c>
    </row>
    <row r="8" ht="52" customHeight="1" spans="1:21">
      <c r="A8" s="13" t="s">
        <v>20</v>
      </c>
      <c r="B8" s="14">
        <v>1117.15</v>
      </c>
      <c r="C8" s="14">
        <v>1418.04</v>
      </c>
      <c r="D8" s="17">
        <f t="shared" si="0"/>
        <v>300.89</v>
      </c>
      <c r="E8" s="37">
        <v>100</v>
      </c>
      <c r="F8" s="17">
        <f t="shared" si="1"/>
        <v>30089</v>
      </c>
      <c r="G8" s="38"/>
      <c r="H8" s="14">
        <v>10.4</v>
      </c>
      <c r="I8" s="14">
        <v>23.28</v>
      </c>
      <c r="J8" s="37">
        <f t="shared" si="2"/>
        <v>12.88</v>
      </c>
      <c r="K8" s="37">
        <v>1000</v>
      </c>
      <c r="L8" s="17">
        <f t="shared" si="3"/>
        <v>12880</v>
      </c>
      <c r="M8" s="23">
        <f>SUM(M4:M7)</f>
        <v>17220</v>
      </c>
      <c r="N8" s="22"/>
      <c r="O8" s="23">
        <f>SUM(O4:O7)</f>
        <v>15047.388435</v>
      </c>
      <c r="P8" s="19"/>
      <c r="Q8" s="12" t="s">
        <v>41</v>
      </c>
      <c r="R8" s="20">
        <v>0.02766875</v>
      </c>
      <c r="S8" s="20">
        <v>0.02766875</v>
      </c>
      <c r="T8" s="20">
        <v>0.02766875</v>
      </c>
      <c r="U8" s="20">
        <v>0.02766875</v>
      </c>
    </row>
    <row r="9" ht="36" customHeight="1" spans="1:21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13542.6495915</v>
      </c>
      <c r="P9" s="26"/>
      <c r="Q9" s="27"/>
      <c r="R9" s="20">
        <f t="shared" ref="R9:U9" si="5">SUM(R4:R8)</f>
        <v>1.22741175</v>
      </c>
      <c r="S9" s="20">
        <f t="shared" si="5"/>
        <v>0.99742175</v>
      </c>
      <c r="T9" s="20">
        <f t="shared" si="5"/>
        <v>0.59811175</v>
      </c>
      <c r="U9" s="20">
        <f t="shared" si="5"/>
        <v>0.23752675</v>
      </c>
    </row>
    <row r="10" ht="37" customHeight="1" spans="1:21">
      <c r="A10" s="28" t="s">
        <v>22</v>
      </c>
      <c r="B10" s="29"/>
      <c r="C10" s="29"/>
      <c r="D10" s="29"/>
      <c r="E10" s="29"/>
      <c r="N10" s="30" t="s">
        <v>23</v>
      </c>
      <c r="O10" s="30" t="s">
        <v>24</v>
      </c>
    </row>
    <row r="11" customHeight="1" spans="1:21">
      <c r="A11" s="31"/>
      <c r="B11" s="31"/>
      <c r="C11" s="31"/>
      <c r="D11" s="31"/>
      <c r="E11" s="31"/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zoomScale="66" zoomScaleNormal="66" topLeftCell="A2" workbookViewId="0">
      <selection activeCell="M4" sqref="M4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9.775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1" t="s">
        <v>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21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52" customHeight="1" spans="1:21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Q3" s="11"/>
      <c r="R3" s="12" t="s">
        <v>33</v>
      </c>
      <c r="S3" s="12" t="s">
        <v>34</v>
      </c>
      <c r="T3" s="12" t="s">
        <v>35</v>
      </c>
      <c r="U3" s="12" t="s">
        <v>36</v>
      </c>
    </row>
    <row r="4" ht="52" customHeight="1" spans="1:21">
      <c r="A4" s="13" t="s">
        <v>16</v>
      </c>
      <c r="B4" s="14">
        <v>380.79</v>
      </c>
      <c r="C4" s="14">
        <v>455.67</v>
      </c>
      <c r="D4" s="17">
        <f t="shared" ref="D4:D8" si="0">C4-B4</f>
        <v>74.88</v>
      </c>
      <c r="E4" s="37">
        <v>100</v>
      </c>
      <c r="F4" s="17">
        <f>D4*E4</f>
        <v>7488</v>
      </c>
      <c r="G4" s="38"/>
      <c r="H4" s="14">
        <v>6.11</v>
      </c>
      <c r="I4" s="14">
        <v>6.48</v>
      </c>
      <c r="J4" s="37">
        <f>I4-H4</f>
        <v>0.37</v>
      </c>
      <c r="K4" s="37">
        <v>1000</v>
      </c>
      <c r="L4" s="17">
        <f>J4*K4</f>
        <v>370</v>
      </c>
      <c r="M4" s="17">
        <f>F4-L4</f>
        <v>7118</v>
      </c>
      <c r="N4" s="39">
        <v>1.26222275</v>
      </c>
      <c r="O4" s="17">
        <f t="shared" ref="O4:O7" si="1">M4*N4</f>
        <v>8984.5015345</v>
      </c>
      <c r="P4" s="19"/>
      <c r="Q4" s="12" t="s">
        <v>37</v>
      </c>
      <c r="R4" s="20">
        <v>0.859854</v>
      </c>
      <c r="S4" s="20">
        <v>0.696424</v>
      </c>
      <c r="T4" s="20">
        <v>0.409661</v>
      </c>
      <c r="U4" s="20">
        <v>0.155671</v>
      </c>
    </row>
    <row r="5" ht="52" customHeight="1" spans="1:21">
      <c r="A5" s="13" t="s">
        <v>17</v>
      </c>
      <c r="B5" s="14">
        <v>369.64</v>
      </c>
      <c r="C5" s="14">
        <v>443.59</v>
      </c>
      <c r="D5" s="17">
        <f t="shared" si="0"/>
        <v>73.95</v>
      </c>
      <c r="E5" s="37">
        <v>100</v>
      </c>
      <c r="F5" s="17">
        <f>D5*E5</f>
        <v>7395</v>
      </c>
      <c r="G5" s="38"/>
      <c r="H5" s="14">
        <v>5.97</v>
      </c>
      <c r="I5" s="14">
        <v>6.36</v>
      </c>
      <c r="J5" s="37">
        <f t="shared" ref="J4:J8" si="2">I5-H5</f>
        <v>0.390000000000001</v>
      </c>
      <c r="K5" s="37">
        <v>1000</v>
      </c>
      <c r="L5" s="17">
        <f>J5*K5</f>
        <v>390.000000000001</v>
      </c>
      <c r="M5" s="17">
        <f>F5-L5</f>
        <v>7005</v>
      </c>
      <c r="N5" s="33">
        <v>1.02379275</v>
      </c>
      <c r="O5" s="17">
        <f t="shared" si="1"/>
        <v>7171.66821375</v>
      </c>
      <c r="P5" s="19"/>
      <c r="Q5" s="12" t="s">
        <v>38</v>
      </c>
      <c r="R5" s="20">
        <v>0.2678</v>
      </c>
      <c r="S5" s="20">
        <v>0.2142</v>
      </c>
      <c r="T5" s="20">
        <v>0.126</v>
      </c>
      <c r="U5" s="20">
        <v>0.0479</v>
      </c>
    </row>
    <row r="6" ht="52" customHeight="1" spans="1:21">
      <c r="A6" s="13" t="s">
        <v>18</v>
      </c>
      <c r="B6" s="14">
        <v>601.24</v>
      </c>
      <c r="C6" s="14">
        <v>731.69</v>
      </c>
      <c r="D6" s="17">
        <f t="shared" si="0"/>
        <v>130.45</v>
      </c>
      <c r="E6" s="37">
        <v>100</v>
      </c>
      <c r="F6" s="17">
        <f>D6*E6</f>
        <v>13045</v>
      </c>
      <c r="G6" s="38"/>
      <c r="H6" s="14">
        <v>10.44</v>
      </c>
      <c r="I6" s="14">
        <v>11.42</v>
      </c>
      <c r="J6" s="37">
        <f t="shared" si="2"/>
        <v>0.98</v>
      </c>
      <c r="K6" s="37">
        <v>1000</v>
      </c>
      <c r="L6" s="17">
        <f>J6*K6</f>
        <v>980</v>
      </c>
      <c r="M6" s="17">
        <f>F6-L6</f>
        <v>12065</v>
      </c>
      <c r="N6" s="33">
        <v>0.58203975</v>
      </c>
      <c r="O6" s="17">
        <f t="shared" si="1"/>
        <v>7022.30958375</v>
      </c>
      <c r="P6" s="19"/>
      <c r="Q6" s="12" t="s">
        <v>39</v>
      </c>
      <c r="R6" s="20">
        <v>0.0323</v>
      </c>
      <c r="S6" s="20">
        <v>0.0258</v>
      </c>
      <c r="T6" s="20">
        <v>0.0152</v>
      </c>
      <c r="U6" s="20">
        <v>0.0058</v>
      </c>
    </row>
    <row r="7" ht="52" customHeight="1" spans="1:21">
      <c r="A7" s="13" t="s">
        <v>19</v>
      </c>
      <c r="B7" s="14">
        <v>66.36</v>
      </c>
      <c r="C7" s="14">
        <v>77.09</v>
      </c>
      <c r="D7" s="17">
        <f t="shared" si="0"/>
        <v>10.73</v>
      </c>
      <c r="E7" s="37">
        <v>100</v>
      </c>
      <c r="F7" s="17">
        <f>D7*E7</f>
        <v>1073</v>
      </c>
      <c r="G7" s="38"/>
      <c r="H7" s="14">
        <v>0.74</v>
      </c>
      <c r="I7" s="14">
        <v>0.77</v>
      </c>
      <c r="J7" s="37">
        <f t="shared" si="2"/>
        <v>0.03</v>
      </c>
      <c r="K7" s="37">
        <v>1000</v>
      </c>
      <c r="L7" s="17">
        <f>J7*K7</f>
        <v>30</v>
      </c>
      <c r="M7" s="17">
        <f>F7-L7</f>
        <v>1043</v>
      </c>
      <c r="N7" s="33">
        <v>0.25033975</v>
      </c>
      <c r="O7" s="17">
        <f t="shared" si="1"/>
        <v>261.10435925</v>
      </c>
      <c r="P7" s="19"/>
      <c r="Q7" s="12" t="s">
        <v>40</v>
      </c>
      <c r="R7" s="20">
        <v>0.0746</v>
      </c>
      <c r="S7" s="20">
        <v>0.0597</v>
      </c>
      <c r="T7" s="20">
        <v>0.00351</v>
      </c>
      <c r="U7" s="20">
        <v>0.0133</v>
      </c>
    </row>
    <row r="8" ht="52" customHeight="1" spans="1:21">
      <c r="A8" s="13" t="s">
        <v>20</v>
      </c>
      <c r="B8" s="14">
        <v>1418.04</v>
      </c>
      <c r="C8" s="14">
        <v>1708.05</v>
      </c>
      <c r="D8" s="17">
        <f t="shared" si="0"/>
        <v>290.01</v>
      </c>
      <c r="E8" s="37">
        <v>100</v>
      </c>
      <c r="F8" s="17">
        <f>D8*E8</f>
        <v>29001</v>
      </c>
      <c r="G8" s="38"/>
      <c r="H8" s="14">
        <v>23.28</v>
      </c>
      <c r="I8" s="14">
        <v>25.06</v>
      </c>
      <c r="J8" s="37">
        <f t="shared" si="2"/>
        <v>1.78</v>
      </c>
      <c r="K8" s="37">
        <v>1000</v>
      </c>
      <c r="L8" s="17">
        <f>J8*K8</f>
        <v>1780</v>
      </c>
      <c r="M8" s="17">
        <f>F8-L8</f>
        <v>27221</v>
      </c>
      <c r="N8" s="22"/>
      <c r="O8" s="23">
        <f>SUM(O4:O7)</f>
        <v>23439.58369125</v>
      </c>
      <c r="P8" s="19"/>
      <c r="Q8" s="12" t="s">
        <v>41</v>
      </c>
      <c r="R8" s="20">
        <v>0.02766875</v>
      </c>
      <c r="S8" s="20">
        <v>0.02766875</v>
      </c>
      <c r="T8" s="20">
        <v>0.02766875</v>
      </c>
      <c r="U8" s="20">
        <v>0.02766875</v>
      </c>
    </row>
    <row r="9" ht="36" customHeight="1" spans="1:21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21095.625322125</v>
      </c>
      <c r="P9" s="26"/>
      <c r="Q9" s="27"/>
      <c r="R9" s="20">
        <f t="shared" ref="R9:U9" si="3">SUM(R4:R8)</f>
        <v>1.26222275</v>
      </c>
      <c r="S9" s="20">
        <f t="shared" si="3"/>
        <v>1.02379275</v>
      </c>
      <c r="T9" s="20">
        <f t="shared" si="3"/>
        <v>0.58203975</v>
      </c>
      <c r="U9" s="20">
        <f t="shared" si="3"/>
        <v>0.25033975</v>
      </c>
    </row>
    <row r="10" ht="37" customHeight="1" spans="1:21">
      <c r="A10" s="28" t="s">
        <v>22</v>
      </c>
      <c r="B10" s="29"/>
      <c r="C10" s="29"/>
      <c r="D10" s="29"/>
      <c r="E10" s="29"/>
      <c r="N10" s="30" t="s">
        <v>23</v>
      </c>
      <c r="O10" s="30" t="s">
        <v>24</v>
      </c>
    </row>
    <row r="11" customHeight="1" spans="1:21">
      <c r="A11" s="31"/>
      <c r="B11" s="31"/>
      <c r="C11" s="31"/>
      <c r="D11" s="31"/>
      <c r="E11" s="31"/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zoomScale="115" zoomScaleNormal="115" workbookViewId="0">
      <selection activeCell="A9" sqref="A9:N9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9.775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1" t="s">
        <v>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21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52" customHeight="1" spans="1:21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Q3" s="11"/>
      <c r="R3" s="12" t="s">
        <v>33</v>
      </c>
      <c r="S3" s="12" t="s">
        <v>34</v>
      </c>
      <c r="T3" s="12" t="s">
        <v>35</v>
      </c>
      <c r="U3" s="12" t="s">
        <v>36</v>
      </c>
    </row>
    <row r="4" ht="52" customHeight="1" spans="1:21">
      <c r="A4" s="13" t="s">
        <v>16</v>
      </c>
      <c r="B4" s="14">
        <v>455.67</v>
      </c>
      <c r="C4" s="14">
        <v>535.26</v>
      </c>
      <c r="D4" s="17">
        <f t="shared" ref="D4:D8" si="0">C4-B4</f>
        <v>79.59</v>
      </c>
      <c r="E4" s="37">
        <v>100</v>
      </c>
      <c r="F4" s="17">
        <f t="shared" ref="F4:F8" si="1">D4*E4</f>
        <v>7959</v>
      </c>
      <c r="G4" s="38"/>
      <c r="H4" s="14">
        <v>6.48</v>
      </c>
      <c r="I4" s="14">
        <v>7.19</v>
      </c>
      <c r="J4" s="37">
        <f t="shared" ref="J4:J8" si="2">I4-H4</f>
        <v>0.71</v>
      </c>
      <c r="K4" s="37">
        <v>1000</v>
      </c>
      <c r="L4" s="17">
        <f t="shared" ref="L4:L8" si="3">J4*K4</f>
        <v>710</v>
      </c>
      <c r="M4" s="17">
        <f t="shared" ref="M4:M8" si="4">F4-L4</f>
        <v>7249</v>
      </c>
      <c r="N4" s="39">
        <v>1.28602575</v>
      </c>
      <c r="O4" s="17">
        <f t="shared" ref="O4:O7" si="5">M4*N4</f>
        <v>9322.40066175</v>
      </c>
      <c r="P4" s="19"/>
      <c r="Q4" s="12" t="s">
        <v>37</v>
      </c>
      <c r="R4" s="20">
        <v>0.858557</v>
      </c>
      <c r="S4" s="20">
        <v>0.696407</v>
      </c>
      <c r="T4" s="20">
        <v>0.409651</v>
      </c>
      <c r="U4" s="20">
        <v>0.155668</v>
      </c>
    </row>
    <row r="5" ht="52" customHeight="1" spans="1:21">
      <c r="A5" s="13" t="s">
        <v>17</v>
      </c>
      <c r="B5" s="14">
        <v>443.59</v>
      </c>
      <c r="C5" s="14">
        <v>514.21</v>
      </c>
      <c r="D5" s="17">
        <f t="shared" si="0"/>
        <v>70.6200000000001</v>
      </c>
      <c r="E5" s="37">
        <v>100</v>
      </c>
      <c r="F5" s="17">
        <f t="shared" si="1"/>
        <v>7062.00000000001</v>
      </c>
      <c r="G5" s="38"/>
      <c r="H5" s="14">
        <v>6.36</v>
      </c>
      <c r="I5" s="14">
        <v>6.92</v>
      </c>
      <c r="J5" s="37">
        <f t="shared" si="2"/>
        <v>0.56</v>
      </c>
      <c r="K5" s="37">
        <v>1000</v>
      </c>
      <c r="L5" s="17">
        <f t="shared" si="3"/>
        <v>560</v>
      </c>
      <c r="M5" s="17">
        <f t="shared" si="4"/>
        <v>6502.00000000001</v>
      </c>
      <c r="N5" s="33">
        <v>1.04387575</v>
      </c>
      <c r="O5" s="17">
        <f t="shared" si="5"/>
        <v>6787.28012650001</v>
      </c>
      <c r="P5" s="19"/>
      <c r="Q5" s="12" t="s">
        <v>38</v>
      </c>
      <c r="R5" s="20">
        <v>0.2678</v>
      </c>
      <c r="S5" s="20">
        <v>0.2142</v>
      </c>
      <c r="T5" s="20">
        <v>0.126</v>
      </c>
      <c r="U5" s="20">
        <v>0.0479</v>
      </c>
    </row>
    <row r="6" ht="52" customHeight="1" spans="1:21">
      <c r="A6" s="13" t="s">
        <v>18</v>
      </c>
      <c r="B6" s="14">
        <v>731.69</v>
      </c>
      <c r="C6" s="14">
        <v>857.67</v>
      </c>
      <c r="D6" s="17">
        <f t="shared" si="0"/>
        <v>125.98</v>
      </c>
      <c r="E6" s="37">
        <v>100</v>
      </c>
      <c r="F6" s="17">
        <f t="shared" si="1"/>
        <v>12598</v>
      </c>
      <c r="G6" s="38"/>
      <c r="H6" s="14">
        <v>11.42</v>
      </c>
      <c r="I6" s="14">
        <v>12.52</v>
      </c>
      <c r="J6" s="37">
        <f t="shared" si="2"/>
        <v>1.1</v>
      </c>
      <c r="K6" s="37">
        <v>1000</v>
      </c>
      <c r="L6" s="17">
        <f t="shared" si="3"/>
        <v>1100</v>
      </c>
      <c r="M6" s="17">
        <f t="shared" si="4"/>
        <v>11498</v>
      </c>
      <c r="N6" s="33">
        <v>0.62541975</v>
      </c>
      <c r="O6" s="17">
        <f t="shared" si="5"/>
        <v>7191.0762855</v>
      </c>
      <c r="P6" s="19"/>
      <c r="Q6" s="12" t="s">
        <v>39</v>
      </c>
      <c r="R6" s="20">
        <v>0.0321</v>
      </c>
      <c r="S6" s="20">
        <v>0.0257</v>
      </c>
      <c r="T6" s="20">
        <v>0.0151</v>
      </c>
      <c r="U6" s="20">
        <v>0.0057</v>
      </c>
    </row>
    <row r="7" ht="52" customHeight="1" spans="1:21">
      <c r="A7" s="13" t="s">
        <v>19</v>
      </c>
      <c r="B7" s="14">
        <v>77.09</v>
      </c>
      <c r="C7" s="14">
        <v>85.59</v>
      </c>
      <c r="D7" s="17">
        <f t="shared" si="0"/>
        <v>8.5</v>
      </c>
      <c r="E7" s="37">
        <v>100</v>
      </c>
      <c r="F7" s="17">
        <f t="shared" si="1"/>
        <v>850</v>
      </c>
      <c r="G7" s="38"/>
      <c r="H7" s="14">
        <v>0.77</v>
      </c>
      <c r="I7" s="14">
        <v>0.82</v>
      </c>
      <c r="J7" s="37">
        <f t="shared" si="2"/>
        <v>0.0499999999999999</v>
      </c>
      <c r="K7" s="37">
        <v>1000</v>
      </c>
      <c r="L7" s="17">
        <f t="shared" si="3"/>
        <v>49.9999999999999</v>
      </c>
      <c r="M7" s="17">
        <f t="shared" si="4"/>
        <v>800</v>
      </c>
      <c r="N7" s="33">
        <v>0.25393675</v>
      </c>
      <c r="O7" s="17">
        <f t="shared" si="5"/>
        <v>203.1494</v>
      </c>
      <c r="P7" s="19"/>
      <c r="Q7" s="12" t="s">
        <v>40</v>
      </c>
      <c r="R7" s="20">
        <v>0.0999</v>
      </c>
      <c r="S7" s="20">
        <v>0.0799</v>
      </c>
      <c r="T7" s="20">
        <v>0.047</v>
      </c>
      <c r="U7" s="20">
        <v>0.017</v>
      </c>
    </row>
    <row r="8" ht="52" customHeight="1" spans="1:21">
      <c r="A8" s="13" t="s">
        <v>20</v>
      </c>
      <c r="B8" s="14">
        <v>1708.05</v>
      </c>
      <c r="C8" s="14">
        <v>1992.75</v>
      </c>
      <c r="D8" s="17">
        <f t="shared" si="0"/>
        <v>284.7</v>
      </c>
      <c r="E8" s="37">
        <v>100</v>
      </c>
      <c r="F8" s="17">
        <f t="shared" si="1"/>
        <v>28470</v>
      </c>
      <c r="G8" s="38"/>
      <c r="H8" s="14">
        <v>25.06</v>
      </c>
      <c r="I8" s="14">
        <v>27.46</v>
      </c>
      <c r="J8" s="37">
        <f t="shared" si="2"/>
        <v>2.4</v>
      </c>
      <c r="K8" s="37">
        <v>1000</v>
      </c>
      <c r="L8" s="17">
        <f t="shared" si="3"/>
        <v>2400</v>
      </c>
      <c r="M8" s="17">
        <f t="shared" si="4"/>
        <v>26070</v>
      </c>
      <c r="N8" s="22"/>
      <c r="O8" s="23">
        <f>SUM(O4:O7)</f>
        <v>23503.90647375</v>
      </c>
      <c r="P8" s="19"/>
      <c r="Q8" s="12" t="s">
        <v>41</v>
      </c>
      <c r="R8" s="20">
        <v>0.02766875</v>
      </c>
      <c r="S8" s="20">
        <v>0.02766875</v>
      </c>
      <c r="T8" s="20">
        <v>0.02766875</v>
      </c>
      <c r="U8" s="20">
        <v>0.02766875</v>
      </c>
    </row>
    <row r="9" ht="36" customHeight="1" spans="1:21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21153.515826375</v>
      </c>
      <c r="P9" s="26"/>
      <c r="Q9" s="27"/>
      <c r="R9" s="20">
        <f t="shared" ref="R9:U9" si="6">SUM(R4:R8)</f>
        <v>1.28602575</v>
      </c>
      <c r="S9" s="20">
        <f t="shared" si="6"/>
        <v>1.04387575</v>
      </c>
      <c r="T9" s="20">
        <f t="shared" si="6"/>
        <v>0.62541975</v>
      </c>
      <c r="U9" s="20">
        <f t="shared" si="6"/>
        <v>0.25393675</v>
      </c>
    </row>
    <row r="10" ht="37" customHeight="1" spans="1:21">
      <c r="A10" s="28" t="s">
        <v>22</v>
      </c>
      <c r="B10" s="29"/>
      <c r="C10" s="29"/>
      <c r="D10" s="29"/>
      <c r="E10" s="29"/>
      <c r="N10" s="30" t="s">
        <v>23</v>
      </c>
      <c r="O10" s="30" t="s">
        <v>24</v>
      </c>
    </row>
    <row r="11" customHeight="1" spans="1:21">
      <c r="A11" s="31"/>
      <c r="B11" s="31"/>
      <c r="C11" s="31"/>
      <c r="D11" s="31"/>
      <c r="E11" s="31"/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1"/>
  <sheetViews>
    <sheetView zoomScale="83" zoomScaleNormal="83" workbookViewId="0">
      <selection activeCell="J11" sqref="J11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9.775" customWidth="1"/>
    <col min="4" max="4" width="8.08333333333333" customWidth="1"/>
    <col min="5" max="5" width="7.49166666666667" customWidth="1"/>
    <col min="6" max="6" width="10.1416666666667" customWidth="1"/>
    <col min="7" max="7" width="1.025" customWidth="1"/>
    <col min="8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21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52" customHeight="1" spans="1:21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Q3" s="11"/>
      <c r="R3" s="12" t="s">
        <v>33</v>
      </c>
      <c r="S3" s="12" t="s">
        <v>34</v>
      </c>
      <c r="T3" s="12" t="s">
        <v>35</v>
      </c>
      <c r="U3" s="12" t="s">
        <v>36</v>
      </c>
    </row>
    <row r="4" ht="52" customHeight="1" spans="1:21">
      <c r="A4" s="13" t="s">
        <v>16</v>
      </c>
      <c r="B4" s="14">
        <v>535.26</v>
      </c>
      <c r="C4" s="14">
        <v>592.36</v>
      </c>
      <c r="D4" s="17">
        <f t="shared" ref="D4:D8" si="0">C4-B4</f>
        <v>57.1</v>
      </c>
      <c r="E4" s="37">
        <v>100</v>
      </c>
      <c r="F4" s="17">
        <f t="shared" ref="F4:F8" si="1">D4*E4</f>
        <v>5710</v>
      </c>
      <c r="G4" s="38"/>
      <c r="H4" s="14">
        <v>7.19</v>
      </c>
      <c r="I4" s="14">
        <v>7.69</v>
      </c>
      <c r="J4" s="37">
        <f t="shared" ref="J4:J8" si="2">I4-H4</f>
        <v>0.5</v>
      </c>
      <c r="K4" s="37">
        <v>1000</v>
      </c>
      <c r="L4" s="17">
        <f t="shared" ref="L4:L8" si="3">J4*K4</f>
        <v>500</v>
      </c>
      <c r="M4" s="17">
        <f t="shared" ref="M4:M8" si="4">F4-L4</f>
        <v>5210</v>
      </c>
      <c r="N4" s="39">
        <v>1.10332175</v>
      </c>
      <c r="O4" s="17">
        <f t="shared" ref="O4:O7" si="5">M4*N4</f>
        <v>5748.3063175</v>
      </c>
      <c r="P4" s="19"/>
      <c r="Q4" s="12" t="s">
        <v>37</v>
      </c>
      <c r="R4" s="20"/>
      <c r="S4" s="20">
        <v>0.695853</v>
      </c>
      <c r="T4" s="20">
        <v>0.409326</v>
      </c>
      <c r="U4" s="20">
        <v>0.155544</v>
      </c>
    </row>
    <row r="5" ht="52" customHeight="1" spans="1:21">
      <c r="A5" s="13" t="s">
        <v>17</v>
      </c>
      <c r="B5" s="14">
        <v>514.21</v>
      </c>
      <c r="C5" s="14">
        <v>569.58</v>
      </c>
      <c r="D5" s="17">
        <f t="shared" si="0"/>
        <v>55.37</v>
      </c>
      <c r="E5" s="37">
        <v>100</v>
      </c>
      <c r="F5" s="17">
        <f t="shared" si="1"/>
        <v>5537</v>
      </c>
      <c r="G5" s="38"/>
      <c r="H5" s="14">
        <v>6.92</v>
      </c>
      <c r="I5" s="14">
        <v>7.36</v>
      </c>
      <c r="J5" s="37">
        <f t="shared" si="2"/>
        <v>0.44</v>
      </c>
      <c r="K5" s="37">
        <v>1000</v>
      </c>
      <c r="L5" s="17">
        <f t="shared" si="3"/>
        <v>440</v>
      </c>
      <c r="M5" s="17">
        <f t="shared" si="4"/>
        <v>5097</v>
      </c>
      <c r="N5" s="39">
        <v>1.10332175</v>
      </c>
      <c r="O5" s="17">
        <f t="shared" si="5"/>
        <v>5623.63095975</v>
      </c>
      <c r="P5" s="19"/>
      <c r="Q5" s="12" t="s">
        <v>38</v>
      </c>
      <c r="R5" s="20"/>
      <c r="S5" s="20">
        <v>0.2142</v>
      </c>
      <c r="T5" s="20">
        <v>0.126</v>
      </c>
      <c r="U5" s="20">
        <v>0.0479</v>
      </c>
    </row>
    <row r="6" ht="52" customHeight="1" spans="1:21">
      <c r="A6" s="13" t="s">
        <v>18</v>
      </c>
      <c r="B6" s="14">
        <v>857.67</v>
      </c>
      <c r="C6" s="14">
        <v>956.58</v>
      </c>
      <c r="D6" s="17">
        <f t="shared" si="0"/>
        <v>98.9100000000001</v>
      </c>
      <c r="E6" s="37">
        <v>100</v>
      </c>
      <c r="F6" s="17">
        <f t="shared" si="1"/>
        <v>9891.00000000001</v>
      </c>
      <c r="G6" s="38"/>
      <c r="H6" s="14">
        <v>12.52</v>
      </c>
      <c r="I6" s="14">
        <v>13.45</v>
      </c>
      <c r="J6" s="37">
        <f t="shared" si="2"/>
        <v>0.93</v>
      </c>
      <c r="K6" s="37">
        <v>1000</v>
      </c>
      <c r="L6" s="17">
        <f t="shared" si="3"/>
        <v>930</v>
      </c>
      <c r="M6" s="17">
        <f t="shared" si="4"/>
        <v>8961.00000000001</v>
      </c>
      <c r="N6" s="33">
        <v>0.66039475</v>
      </c>
      <c r="O6" s="17">
        <f t="shared" si="5"/>
        <v>5917.79735475001</v>
      </c>
      <c r="P6" s="19"/>
      <c r="Q6" s="12" t="s">
        <v>39</v>
      </c>
      <c r="R6" s="20"/>
      <c r="S6" s="20">
        <v>0.0264</v>
      </c>
      <c r="T6" s="20">
        <v>0.0155</v>
      </c>
      <c r="U6" s="20">
        <v>0.0059</v>
      </c>
    </row>
    <row r="7" ht="52" customHeight="1" spans="1:21">
      <c r="A7" s="13" t="s">
        <v>19</v>
      </c>
      <c r="B7" s="14">
        <v>85.59</v>
      </c>
      <c r="C7" s="14">
        <v>88.9</v>
      </c>
      <c r="D7" s="17">
        <f t="shared" si="0"/>
        <v>3.31</v>
      </c>
      <c r="E7" s="37">
        <v>100</v>
      </c>
      <c r="F7" s="17">
        <f t="shared" si="1"/>
        <v>331</v>
      </c>
      <c r="G7" s="38"/>
      <c r="H7" s="14">
        <v>0.82</v>
      </c>
      <c r="I7" s="14">
        <v>0.85</v>
      </c>
      <c r="J7" s="37">
        <f t="shared" si="2"/>
        <v>0.03</v>
      </c>
      <c r="K7" s="37">
        <v>1000</v>
      </c>
      <c r="L7" s="17">
        <f t="shared" si="3"/>
        <v>30</v>
      </c>
      <c r="M7" s="17">
        <f t="shared" si="4"/>
        <v>301</v>
      </c>
      <c r="N7" s="33">
        <v>0.26811275</v>
      </c>
      <c r="O7" s="17">
        <f t="shared" si="5"/>
        <v>80.70193775</v>
      </c>
      <c r="P7" s="19"/>
      <c r="Q7" s="12" t="s">
        <v>40</v>
      </c>
      <c r="R7" s="20"/>
      <c r="S7" s="20">
        <v>0.1392</v>
      </c>
      <c r="T7" s="20">
        <v>0.0819</v>
      </c>
      <c r="U7" s="20">
        <v>0.0311</v>
      </c>
    </row>
    <row r="8" ht="52" customHeight="1" spans="1:21">
      <c r="A8" s="13" t="s">
        <v>20</v>
      </c>
      <c r="B8" s="14">
        <v>1992.75</v>
      </c>
      <c r="C8" s="14">
        <v>2206.96</v>
      </c>
      <c r="D8" s="17">
        <f t="shared" si="0"/>
        <v>214.21</v>
      </c>
      <c r="E8" s="37">
        <v>100</v>
      </c>
      <c r="F8" s="17">
        <f t="shared" si="1"/>
        <v>21421</v>
      </c>
      <c r="G8" s="38"/>
      <c r="H8" s="14">
        <v>27.46</v>
      </c>
      <c r="I8" s="14">
        <v>29.36</v>
      </c>
      <c r="J8" s="37">
        <f t="shared" si="2"/>
        <v>1.9</v>
      </c>
      <c r="K8" s="37">
        <v>1000</v>
      </c>
      <c r="L8" s="17">
        <f t="shared" si="3"/>
        <v>1900</v>
      </c>
      <c r="M8" s="17">
        <f t="shared" si="4"/>
        <v>19521</v>
      </c>
      <c r="N8" s="22"/>
      <c r="O8" s="23">
        <f>SUM(O4:O7)</f>
        <v>17370.43656975</v>
      </c>
      <c r="P8" s="19"/>
      <c r="Q8" s="12" t="s">
        <v>41</v>
      </c>
      <c r="R8" s="20"/>
      <c r="S8" s="20">
        <v>0.02766875</v>
      </c>
      <c r="T8" s="20">
        <v>0.02766875</v>
      </c>
      <c r="U8" s="20">
        <v>0.02766875</v>
      </c>
    </row>
    <row r="9" ht="36" customHeight="1" spans="1:21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15633.392912775</v>
      </c>
      <c r="P9" s="26"/>
      <c r="Q9" s="27"/>
      <c r="R9" s="20"/>
      <c r="S9" s="20">
        <f t="shared" ref="R9:U9" si="6">SUM(S4:S8)</f>
        <v>1.10332175</v>
      </c>
      <c r="T9" s="20">
        <f t="shared" si="6"/>
        <v>0.66039475</v>
      </c>
      <c r="U9" s="20">
        <f t="shared" si="6"/>
        <v>0.26811275</v>
      </c>
    </row>
    <row r="10" ht="37" customHeight="1" spans="1:21">
      <c r="A10" s="28" t="s">
        <v>22</v>
      </c>
      <c r="B10" s="29"/>
      <c r="C10" s="29"/>
      <c r="D10" s="29"/>
      <c r="E10" s="29"/>
      <c r="N10" s="30" t="s">
        <v>23</v>
      </c>
      <c r="O10" s="30" t="s">
        <v>24</v>
      </c>
    </row>
    <row r="11" customHeight="1" spans="1:21">
      <c r="A11" s="31"/>
      <c r="B11" s="31"/>
      <c r="C11" s="31"/>
      <c r="D11" s="31"/>
      <c r="E11" s="31"/>
      <c r="F11" s="31"/>
      <c r="G11" s="31"/>
      <c r="H11" s="31"/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2"/>
  <sheetViews>
    <sheetView tabSelected="1" zoomScale="83" zoomScaleNormal="83" workbookViewId="0">
      <selection activeCell="L11" sqref="L11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11.1333333333333" customWidth="1"/>
    <col min="4" max="4" width="8.08333333333333" customWidth="1"/>
    <col min="5" max="5" width="7.49166666666667" customWidth="1"/>
    <col min="6" max="6" width="11.4416666666667" customWidth="1"/>
    <col min="7" max="7" width="1.025" customWidth="1"/>
    <col min="8" max="8" width="7.93333333333333" customWidth="1"/>
    <col min="9" max="9" width="10.2416666666667" customWidth="1"/>
    <col min="10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1" t="s">
        <v>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21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52" customHeight="1" spans="1:21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Q3" s="11"/>
      <c r="R3" s="12" t="s">
        <v>33</v>
      </c>
      <c r="S3" s="12" t="s">
        <v>34</v>
      </c>
      <c r="T3" s="12" t="s">
        <v>35</v>
      </c>
      <c r="U3" s="12" t="s">
        <v>36</v>
      </c>
    </row>
    <row r="4" ht="52" customHeight="1" spans="1:21">
      <c r="A4" s="13" t="s">
        <v>16</v>
      </c>
      <c r="B4" s="14">
        <v>592.36</v>
      </c>
      <c r="C4" s="14">
        <v>653.03</v>
      </c>
      <c r="D4" s="15">
        <f t="shared" ref="D4:D8" si="0">C4-B4</f>
        <v>60.67</v>
      </c>
      <c r="E4" s="15">
        <v>100</v>
      </c>
      <c r="F4" s="15">
        <f t="shared" ref="F4:F8" si="1">D4*E4</f>
        <v>6067</v>
      </c>
      <c r="G4" s="16"/>
      <c r="H4" s="14">
        <v>7.69</v>
      </c>
      <c r="I4" s="14">
        <v>8.31</v>
      </c>
      <c r="J4" s="15">
        <f t="shared" ref="J4:J8" si="2">I4-H4</f>
        <v>0.62</v>
      </c>
      <c r="K4" s="15">
        <v>1000</v>
      </c>
      <c r="L4" s="15">
        <f t="shared" ref="L4:L8" si="3">J4*K4</f>
        <v>620</v>
      </c>
      <c r="M4" s="17">
        <f t="shared" ref="M4:M8" si="4">F4-L4</f>
        <v>5447</v>
      </c>
      <c r="N4" s="18">
        <v>0.695903</v>
      </c>
      <c r="O4" s="15">
        <f t="shared" ref="O4:O7" si="5">M4*N4</f>
        <v>3790.583641</v>
      </c>
      <c r="P4" s="19"/>
      <c r="Q4" s="12" t="s">
        <v>37</v>
      </c>
      <c r="R4" s="20"/>
      <c r="S4" s="20">
        <v>0.695853</v>
      </c>
      <c r="T4" s="20">
        <v>0.409326</v>
      </c>
      <c r="U4" s="20">
        <v>0.155544</v>
      </c>
    </row>
    <row r="5" ht="52" customHeight="1" spans="1:21">
      <c r="A5" s="13" t="s">
        <v>17</v>
      </c>
      <c r="B5" s="14">
        <v>569.58</v>
      </c>
      <c r="C5" s="14">
        <v>624.5</v>
      </c>
      <c r="D5" s="15">
        <f t="shared" si="0"/>
        <v>54.92</v>
      </c>
      <c r="E5" s="15">
        <v>100</v>
      </c>
      <c r="F5" s="15">
        <f t="shared" si="1"/>
        <v>5492</v>
      </c>
      <c r="G5" s="16"/>
      <c r="H5" s="14">
        <v>7.36</v>
      </c>
      <c r="I5" s="14">
        <v>7.98</v>
      </c>
      <c r="J5" s="15">
        <f t="shared" si="2"/>
        <v>0.62</v>
      </c>
      <c r="K5" s="15">
        <v>1000</v>
      </c>
      <c r="L5" s="15">
        <f t="shared" si="3"/>
        <v>620</v>
      </c>
      <c r="M5" s="17">
        <f t="shared" si="4"/>
        <v>4872</v>
      </c>
      <c r="N5" s="18">
        <v>0.695903</v>
      </c>
      <c r="O5" s="15">
        <f t="shared" si="5"/>
        <v>3390.439416</v>
      </c>
      <c r="P5" s="19"/>
      <c r="Q5" s="12" t="s">
        <v>38</v>
      </c>
      <c r="R5" s="20"/>
      <c r="S5" s="20">
        <v>0.2142</v>
      </c>
      <c r="T5" s="20">
        <v>0.126</v>
      </c>
      <c r="U5" s="20">
        <v>0.0479</v>
      </c>
    </row>
    <row r="6" ht="52" customHeight="1" spans="1:21">
      <c r="A6" s="13" t="s">
        <v>18</v>
      </c>
      <c r="B6" s="14">
        <v>956.58</v>
      </c>
      <c r="C6" s="14">
        <v>1053.65</v>
      </c>
      <c r="D6" s="15">
        <f t="shared" si="0"/>
        <v>97.07</v>
      </c>
      <c r="E6" s="15">
        <v>100</v>
      </c>
      <c r="F6" s="15">
        <f t="shared" si="1"/>
        <v>9707.00000000001</v>
      </c>
      <c r="G6" s="16"/>
      <c r="H6" s="14">
        <v>13.45</v>
      </c>
      <c r="I6" s="14">
        <v>14.79</v>
      </c>
      <c r="J6" s="15">
        <f t="shared" si="2"/>
        <v>1.34</v>
      </c>
      <c r="K6" s="15">
        <v>1000</v>
      </c>
      <c r="L6" s="15">
        <f t="shared" si="3"/>
        <v>1340</v>
      </c>
      <c r="M6" s="17">
        <f t="shared" si="4"/>
        <v>8367.00000000001</v>
      </c>
      <c r="N6" s="21">
        <v>0.409355</v>
      </c>
      <c r="O6" s="15">
        <f t="shared" si="5"/>
        <v>3425.073285</v>
      </c>
      <c r="P6" s="19"/>
      <c r="Q6" s="12" t="s">
        <v>39</v>
      </c>
      <c r="R6" s="20"/>
      <c r="S6" s="20">
        <v>0.0264</v>
      </c>
      <c r="T6" s="20">
        <v>0.0155</v>
      </c>
      <c r="U6" s="20">
        <v>0.0059</v>
      </c>
    </row>
    <row r="7" ht="52" customHeight="1" spans="1:21">
      <c r="A7" s="13" t="s">
        <v>19</v>
      </c>
      <c r="B7" s="14">
        <v>88.9</v>
      </c>
      <c r="C7" s="14">
        <v>90.67</v>
      </c>
      <c r="D7" s="15">
        <f t="shared" si="0"/>
        <v>1.77</v>
      </c>
      <c r="E7" s="15">
        <v>100</v>
      </c>
      <c r="F7" s="15">
        <f t="shared" si="1"/>
        <v>177</v>
      </c>
      <c r="G7" s="16"/>
      <c r="H7" s="14">
        <v>0.86</v>
      </c>
      <c r="I7" s="14">
        <v>0.86</v>
      </c>
      <c r="J7" s="15">
        <f t="shared" si="2"/>
        <v>0</v>
      </c>
      <c r="K7" s="15">
        <v>1000</v>
      </c>
      <c r="L7" s="15">
        <f t="shared" si="3"/>
        <v>0</v>
      </c>
      <c r="M7" s="17">
        <f t="shared" si="4"/>
        <v>177</v>
      </c>
      <c r="N7" s="21">
        <v>0.155555</v>
      </c>
      <c r="O7" s="15">
        <f t="shared" si="5"/>
        <v>27.533235</v>
      </c>
      <c r="P7" s="19"/>
      <c r="Q7" s="12" t="s">
        <v>40</v>
      </c>
      <c r="R7" s="20"/>
      <c r="S7" s="20">
        <v>0.1392</v>
      </c>
      <c r="T7" s="20">
        <v>0.0819</v>
      </c>
      <c r="U7" s="20">
        <v>0.0311</v>
      </c>
    </row>
    <row r="8" ht="52" customHeight="1" spans="1:21">
      <c r="A8" s="13" t="s">
        <v>20</v>
      </c>
      <c r="B8" s="14">
        <v>2206.96</v>
      </c>
      <c r="C8" s="14">
        <v>2421.86</v>
      </c>
      <c r="D8" s="15">
        <f t="shared" si="0"/>
        <v>214.9</v>
      </c>
      <c r="E8" s="15">
        <v>100</v>
      </c>
      <c r="F8" s="15">
        <f t="shared" si="1"/>
        <v>21490</v>
      </c>
      <c r="G8" s="16"/>
      <c r="H8" s="14">
        <v>29.36</v>
      </c>
      <c r="I8" s="14">
        <v>31.95</v>
      </c>
      <c r="J8" s="15">
        <f t="shared" si="2"/>
        <v>2.59</v>
      </c>
      <c r="K8" s="15">
        <v>1000</v>
      </c>
      <c r="L8" s="15">
        <f t="shared" si="3"/>
        <v>2590</v>
      </c>
      <c r="M8" s="17">
        <f t="shared" si="4"/>
        <v>18900</v>
      </c>
      <c r="N8" s="22"/>
      <c r="O8" s="23">
        <f>SUM(O4:O7)</f>
        <v>10633.629577</v>
      </c>
      <c r="P8" s="19"/>
      <c r="Q8" s="12" t="s">
        <v>41</v>
      </c>
      <c r="R8" s="20"/>
      <c r="S8" s="20">
        <v>0.02766875</v>
      </c>
      <c r="T8" s="20">
        <v>0.02766875</v>
      </c>
      <c r="U8" s="20">
        <v>0.02766875</v>
      </c>
    </row>
    <row r="9" ht="36" customHeight="1" spans="1:21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9570.2666193</v>
      </c>
      <c r="P9" s="26"/>
      <c r="Q9" s="27"/>
      <c r="R9" s="20"/>
      <c r="S9" s="20">
        <f t="shared" ref="S9:U9" si="6">SUM(S4:S8)</f>
        <v>1.10332175</v>
      </c>
      <c r="T9" s="20">
        <f t="shared" si="6"/>
        <v>0.66039475</v>
      </c>
      <c r="U9" s="20">
        <f t="shared" si="6"/>
        <v>0.26811275</v>
      </c>
    </row>
    <row r="10" ht="37" customHeight="1" spans="1:21">
      <c r="A10" s="28" t="s">
        <v>22</v>
      </c>
      <c r="B10" s="29"/>
      <c r="C10" s="29"/>
      <c r="D10" s="29"/>
      <c r="E10" s="29"/>
      <c r="N10" s="30" t="s">
        <v>23</v>
      </c>
      <c r="O10" s="30" t="s">
        <v>24</v>
      </c>
    </row>
    <row r="11" customHeight="1" spans="1:21">
      <c r="A11" s="31"/>
      <c r="B11" s="31"/>
      <c r="C11" s="31"/>
      <c r="D11" s="31"/>
      <c r="E11" s="31"/>
      <c r="F11" s="31"/>
      <c r="G11" s="31"/>
      <c r="H11" s="31"/>
    </row>
    <row r="12" customHeight="1" spans="1:21">
      <c r="C12" s="31"/>
      <c r="D12" s="31"/>
      <c r="E12" s="31"/>
      <c r="F12" s="31"/>
      <c r="G12" s="31">
        <v>6.96</v>
      </c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zoomScale="83" zoomScaleNormal="83" workbookViewId="0">
      <selection activeCell="I12" sqref="I12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11.1333333333333" customWidth="1"/>
    <col min="4" max="4" width="8.08333333333333" customWidth="1"/>
    <col min="5" max="5" width="7.49166666666667" customWidth="1"/>
    <col min="6" max="6" width="11.4416666666667" customWidth="1"/>
    <col min="7" max="7" width="1.025" customWidth="1"/>
    <col min="8" max="8" width="7.93333333333333" customWidth="1"/>
    <col min="9" max="9" width="10.2416666666667" customWidth="1"/>
    <col min="10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1" t="s">
        <v>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21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52" customHeight="1" spans="1:21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Q3" s="11"/>
      <c r="R3" s="12" t="s">
        <v>33</v>
      </c>
      <c r="S3" s="12" t="s">
        <v>34</v>
      </c>
      <c r="T3" s="12" t="s">
        <v>35</v>
      </c>
      <c r="U3" s="12" t="s">
        <v>36</v>
      </c>
    </row>
    <row r="4" ht="52" customHeight="1" spans="1:21">
      <c r="A4" s="13" t="s">
        <v>16</v>
      </c>
      <c r="B4" s="14">
        <v>592.36</v>
      </c>
      <c r="C4" s="14">
        <v>653.03</v>
      </c>
      <c r="D4" s="15">
        <f t="shared" ref="D4:D8" si="0">C4-B4</f>
        <v>60.67</v>
      </c>
      <c r="E4" s="15">
        <v>100</v>
      </c>
      <c r="F4" s="15">
        <f t="shared" ref="F4:F8" si="1">D4*E4</f>
        <v>6067</v>
      </c>
      <c r="G4" s="16"/>
      <c r="H4" s="14">
        <v>7.69</v>
      </c>
      <c r="I4" s="14">
        <v>8.31</v>
      </c>
      <c r="J4" s="15">
        <f t="shared" ref="J4:J8" si="2">I4-H4</f>
        <v>0.62</v>
      </c>
      <c r="K4" s="15">
        <v>1000</v>
      </c>
      <c r="L4" s="15">
        <f t="shared" ref="L4:L8" si="3">J4*K4</f>
        <v>620</v>
      </c>
      <c r="M4" s="17">
        <f t="shared" ref="M4:M8" si="4">F4-L4</f>
        <v>5447</v>
      </c>
      <c r="N4" s="32">
        <v>1.08757175</v>
      </c>
      <c r="O4" s="15">
        <f t="shared" ref="O4:O7" si="5">M4*N4</f>
        <v>5924.00332225</v>
      </c>
      <c r="P4" s="19"/>
      <c r="Q4" s="12" t="s">
        <v>37</v>
      </c>
      <c r="R4" s="20"/>
      <c r="S4" s="20">
        <v>0.695903</v>
      </c>
      <c r="T4" s="20">
        <v>0.409355</v>
      </c>
      <c r="U4" s="20">
        <v>0.155555</v>
      </c>
    </row>
    <row r="5" ht="52" customHeight="1" spans="1:21">
      <c r="A5" s="13" t="s">
        <v>17</v>
      </c>
      <c r="B5" s="14">
        <v>569.58</v>
      </c>
      <c r="C5" s="14">
        <v>624.5</v>
      </c>
      <c r="D5" s="15">
        <f t="shared" si="0"/>
        <v>54.92</v>
      </c>
      <c r="E5" s="15">
        <v>100</v>
      </c>
      <c r="F5" s="15">
        <f t="shared" si="1"/>
        <v>5492</v>
      </c>
      <c r="G5" s="16"/>
      <c r="H5" s="14">
        <v>7.36</v>
      </c>
      <c r="I5" s="14">
        <v>7.98</v>
      </c>
      <c r="J5" s="15">
        <f t="shared" si="2"/>
        <v>0.62</v>
      </c>
      <c r="K5" s="15">
        <v>1000</v>
      </c>
      <c r="L5" s="15">
        <f t="shared" si="3"/>
        <v>620</v>
      </c>
      <c r="M5" s="17">
        <f t="shared" si="4"/>
        <v>4872</v>
      </c>
      <c r="N5" s="32">
        <v>1.08757175</v>
      </c>
      <c r="O5" s="15">
        <f t="shared" si="5"/>
        <v>5298.649566</v>
      </c>
      <c r="P5" s="19"/>
      <c r="Q5" s="12" t="s">
        <v>38</v>
      </c>
      <c r="R5" s="20"/>
      <c r="S5" s="20">
        <v>0.2142</v>
      </c>
      <c r="T5" s="20">
        <v>0.126</v>
      </c>
      <c r="U5" s="20">
        <v>0.0479</v>
      </c>
    </row>
    <row r="6" ht="52" customHeight="1" spans="1:21">
      <c r="A6" s="13" t="s">
        <v>18</v>
      </c>
      <c r="B6" s="14">
        <v>956.58</v>
      </c>
      <c r="C6" s="14">
        <v>1053.65</v>
      </c>
      <c r="D6" s="15">
        <f t="shared" si="0"/>
        <v>97.07</v>
      </c>
      <c r="E6" s="15">
        <v>100</v>
      </c>
      <c r="F6" s="15">
        <f t="shared" si="1"/>
        <v>9707.00000000001</v>
      </c>
      <c r="G6" s="16"/>
      <c r="H6" s="14">
        <v>13.45</v>
      </c>
      <c r="I6" s="14">
        <v>14.79</v>
      </c>
      <c r="J6" s="15">
        <f t="shared" si="2"/>
        <v>1.34</v>
      </c>
      <c r="K6" s="15">
        <v>1000</v>
      </c>
      <c r="L6" s="15">
        <f t="shared" si="3"/>
        <v>1340</v>
      </c>
      <c r="M6" s="17">
        <f t="shared" si="4"/>
        <v>8367.00000000001</v>
      </c>
      <c r="N6" s="33">
        <v>0.65112375</v>
      </c>
      <c r="O6" s="15">
        <f t="shared" si="5"/>
        <v>5447.95241625</v>
      </c>
      <c r="P6" s="19"/>
      <c r="Q6" s="12" t="s">
        <v>39</v>
      </c>
      <c r="R6" s="20"/>
      <c r="S6" s="20">
        <v>0.0267</v>
      </c>
      <c r="T6" s="20">
        <v>0.0157</v>
      </c>
      <c r="U6" s="20">
        <v>0.006</v>
      </c>
    </row>
    <row r="7" ht="52" customHeight="1" spans="1:21">
      <c r="A7" s="13" t="s">
        <v>19</v>
      </c>
      <c r="B7" s="14">
        <v>88.9</v>
      </c>
      <c r="C7" s="14">
        <v>90.67</v>
      </c>
      <c r="D7" s="15">
        <f t="shared" si="0"/>
        <v>1.77</v>
      </c>
      <c r="E7" s="15">
        <v>100</v>
      </c>
      <c r="F7" s="15">
        <f t="shared" si="1"/>
        <v>177</v>
      </c>
      <c r="G7" s="16"/>
      <c r="H7" s="14">
        <v>0.85</v>
      </c>
      <c r="I7" s="14">
        <v>0.86</v>
      </c>
      <c r="J7" s="15">
        <f t="shared" si="2"/>
        <v>0.01</v>
      </c>
      <c r="K7" s="15">
        <v>1000</v>
      </c>
      <c r="L7" s="15">
        <f t="shared" si="3"/>
        <v>10</v>
      </c>
      <c r="M7" s="17">
        <f t="shared" si="4"/>
        <v>167</v>
      </c>
      <c r="N7" s="33">
        <v>0.26462375</v>
      </c>
      <c r="O7" s="15">
        <f t="shared" si="5"/>
        <v>44.1921662499999</v>
      </c>
      <c r="P7" s="19"/>
      <c r="Q7" s="12" t="s">
        <v>40</v>
      </c>
      <c r="R7" s="20"/>
      <c r="S7" s="20">
        <v>0.1231</v>
      </c>
      <c r="T7" s="20">
        <v>0.0724</v>
      </c>
      <c r="U7" s="20">
        <v>0.0275</v>
      </c>
    </row>
    <row r="8" ht="52" customHeight="1" spans="1:21">
      <c r="A8" s="13" t="s">
        <v>20</v>
      </c>
      <c r="B8" s="14">
        <v>2206.96</v>
      </c>
      <c r="C8" s="14">
        <v>2421.86</v>
      </c>
      <c r="D8" s="15">
        <f t="shared" si="0"/>
        <v>214.9</v>
      </c>
      <c r="E8" s="15">
        <v>100</v>
      </c>
      <c r="F8" s="15">
        <f t="shared" si="1"/>
        <v>21490</v>
      </c>
      <c r="G8" s="16"/>
      <c r="H8" s="14">
        <v>29.36</v>
      </c>
      <c r="I8" s="14">
        <v>31.95</v>
      </c>
      <c r="J8" s="15">
        <f t="shared" si="2"/>
        <v>2.59</v>
      </c>
      <c r="K8" s="15">
        <v>1000</v>
      </c>
      <c r="L8" s="15">
        <f t="shared" si="3"/>
        <v>2590</v>
      </c>
      <c r="M8" s="17">
        <f t="shared" si="4"/>
        <v>18900</v>
      </c>
      <c r="N8" s="22"/>
      <c r="O8" s="23">
        <f>SUM(O4:O7)</f>
        <v>16714.79747075</v>
      </c>
      <c r="P8" s="19"/>
      <c r="Q8" s="12" t="s">
        <v>41</v>
      </c>
      <c r="R8" s="20"/>
      <c r="S8" s="20">
        <v>0.02766875</v>
      </c>
      <c r="T8" s="20">
        <v>0.02766875</v>
      </c>
      <c r="U8" s="20">
        <v>0.02766875</v>
      </c>
    </row>
    <row r="9" ht="36" customHeight="1" spans="1:21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15043.317723675</v>
      </c>
      <c r="P9" s="26"/>
      <c r="Q9" s="27"/>
      <c r="R9" s="20"/>
      <c r="S9" s="20">
        <f t="shared" ref="S9:U9" si="6">SUM(S4:S8)</f>
        <v>1.08757175</v>
      </c>
      <c r="T9" s="20">
        <f t="shared" si="6"/>
        <v>0.65112375</v>
      </c>
      <c r="U9" s="20">
        <f t="shared" si="6"/>
        <v>0.26462375</v>
      </c>
    </row>
    <row r="10" ht="36" customHeight="1" spans="1:21">
      <c r="A10" s="34" t="s">
        <v>48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26"/>
      <c r="Q10" s="35"/>
      <c r="R10" s="36"/>
      <c r="S10" s="36"/>
      <c r="T10" s="36"/>
      <c r="U10" s="36"/>
    </row>
    <row r="11" ht="37" customHeight="1" spans="1:21">
      <c r="A11" s="28" t="s">
        <v>22</v>
      </c>
      <c r="B11" s="29"/>
      <c r="C11" s="29"/>
      <c r="D11" s="29"/>
      <c r="E11" s="29"/>
      <c r="N11" s="30" t="s">
        <v>23</v>
      </c>
      <c r="O11" s="30" t="s">
        <v>24</v>
      </c>
    </row>
    <row r="12" customHeight="1" spans="1:21">
      <c r="A12" s="31"/>
      <c r="B12" s="31"/>
      <c r="C12" s="31"/>
      <c r="D12" s="31"/>
      <c r="E12" s="31"/>
      <c r="F12" s="31"/>
      <c r="G12" s="31"/>
      <c r="H12" s="31"/>
    </row>
    <row r="13" customHeight="1" spans="1:21">
      <c r="C13" s="31"/>
      <c r="D13" s="31"/>
      <c r="E13" s="31"/>
      <c r="F13" s="31"/>
      <c r="G13" s="31">
        <v>6.96</v>
      </c>
    </row>
  </sheetData>
  <mergeCells count="8">
    <mergeCell ref="A1:O1"/>
    <mergeCell ref="A2:F2"/>
    <mergeCell ref="H2:L2"/>
    <mergeCell ref="M2:O2"/>
    <mergeCell ref="A9:N9"/>
    <mergeCell ref="A10:O10"/>
    <mergeCell ref="A11:E11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"/>
  <sheetViews>
    <sheetView zoomScale="83" zoomScaleNormal="83" topLeftCell="A3" workbookViewId="0">
      <selection activeCell="K11" sqref="K11"/>
    </sheetView>
  </sheetViews>
  <sheetFormatPr defaultColWidth="15.6" defaultRowHeight="27.75" customHeight="1"/>
  <cols>
    <col min="1" max="1" width="5" customWidth="1"/>
    <col min="2" max="2" width="7.49166666666667" customWidth="1"/>
    <col min="3" max="3" width="11.1333333333333" customWidth="1"/>
    <col min="4" max="4" width="8.08333333333333" customWidth="1"/>
    <col min="5" max="5" width="7.49166666666667" customWidth="1"/>
    <col min="6" max="6" width="11.4416666666667" customWidth="1"/>
    <col min="7" max="7" width="1.025" customWidth="1"/>
    <col min="8" max="8" width="7.93333333333333" customWidth="1"/>
    <col min="9" max="9" width="10.2416666666667" customWidth="1"/>
    <col min="10" max="11" width="7.93333333333333" customWidth="1"/>
    <col min="12" max="12" width="9.40833333333333" customWidth="1"/>
    <col min="13" max="13" width="11.175" customWidth="1"/>
    <col min="14" max="14" width="11.9083333333333" customWidth="1"/>
    <col min="15" max="15" width="13.675" customWidth="1"/>
    <col min="16" max="17" width="10.4333333333333" customWidth="1"/>
    <col min="18" max="21" width="13.9083333333333" customWidth="1"/>
  </cols>
  <sheetData>
    <row r="1" ht="24" customHeight="1" spans="1:21">
      <c r="A1" s="1" t="s">
        <v>49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0" customHeight="1" spans="1:21">
      <c r="A2" s="2" t="s">
        <v>1</v>
      </c>
      <c r="B2" s="2"/>
      <c r="C2" s="2"/>
      <c r="D2" s="2"/>
      <c r="E2" s="2"/>
      <c r="F2" s="2"/>
      <c r="G2" s="2"/>
      <c r="H2" s="3" t="s">
        <v>2</v>
      </c>
      <c r="I2" s="4"/>
      <c r="J2" s="4"/>
      <c r="K2" s="4"/>
      <c r="L2" s="5"/>
      <c r="M2" s="6" t="s">
        <v>3</v>
      </c>
      <c r="N2" s="7"/>
      <c r="O2" s="7"/>
    </row>
    <row r="3" ht="52" customHeight="1" spans="1:21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26</v>
      </c>
      <c r="G3" s="8"/>
      <c r="H3" s="8" t="s">
        <v>6</v>
      </c>
      <c r="I3" s="8" t="s">
        <v>7</v>
      </c>
      <c r="J3" s="8" t="s">
        <v>8</v>
      </c>
      <c r="K3" s="8" t="s">
        <v>9</v>
      </c>
      <c r="L3" s="8" t="s">
        <v>30</v>
      </c>
      <c r="M3" s="9" t="s">
        <v>11</v>
      </c>
      <c r="N3" s="10" t="s">
        <v>12</v>
      </c>
      <c r="O3" s="8" t="s">
        <v>13</v>
      </c>
      <c r="Q3" s="11"/>
      <c r="R3" s="12" t="s">
        <v>33</v>
      </c>
      <c r="S3" s="12" t="s">
        <v>34</v>
      </c>
      <c r="T3" s="12" t="s">
        <v>35</v>
      </c>
      <c r="U3" s="12" t="s">
        <v>36</v>
      </c>
    </row>
    <row r="4" ht="52" customHeight="1" spans="1:21">
      <c r="A4" s="13" t="s">
        <v>16</v>
      </c>
      <c r="B4" s="14">
        <v>653.03</v>
      </c>
      <c r="C4" s="14">
        <v>725.61</v>
      </c>
      <c r="D4" s="15">
        <f t="shared" ref="D4:D8" si="0">C4-B4</f>
        <v>72.58</v>
      </c>
      <c r="E4" s="15">
        <v>100</v>
      </c>
      <c r="F4" s="15">
        <f t="shared" ref="F4:F8" si="1">D4*E4</f>
        <v>7258</v>
      </c>
      <c r="G4" s="16"/>
      <c r="H4" s="14">
        <v>8.31</v>
      </c>
      <c r="I4" s="14">
        <v>9.17</v>
      </c>
      <c r="J4" s="15">
        <f t="shared" ref="J4:J8" si="2">I4-H4</f>
        <v>0.859999999999999</v>
      </c>
      <c r="K4" s="15">
        <v>1000</v>
      </c>
      <c r="L4" s="15">
        <f t="shared" ref="L4:L8" si="3">J4*K4</f>
        <v>859.999999999999</v>
      </c>
      <c r="M4" s="17">
        <f t="shared" ref="M4:M8" si="4">F4-L4</f>
        <v>6398</v>
      </c>
      <c r="N4" s="18">
        <v>1.01445875</v>
      </c>
      <c r="O4" s="15">
        <f t="shared" ref="O4:O7" si="5">M4*N4</f>
        <v>6490.5070825</v>
      </c>
      <c r="P4" s="19"/>
      <c r="Q4" s="12" t="s">
        <v>37</v>
      </c>
      <c r="R4" s="20"/>
      <c r="S4" s="20">
        <v>0.62779</v>
      </c>
      <c r="T4" s="20">
        <v>0.369288</v>
      </c>
      <c r="U4" s="20">
        <v>0.14033</v>
      </c>
    </row>
    <row r="5" ht="52" customHeight="1" spans="1:21">
      <c r="A5" s="13" t="s">
        <v>17</v>
      </c>
      <c r="B5" s="14">
        <v>624.5</v>
      </c>
      <c r="C5" s="14">
        <v>691.53</v>
      </c>
      <c r="D5" s="15">
        <f t="shared" si="0"/>
        <v>67.03</v>
      </c>
      <c r="E5" s="15">
        <v>100</v>
      </c>
      <c r="F5" s="15">
        <f t="shared" si="1"/>
        <v>6703</v>
      </c>
      <c r="G5" s="16"/>
      <c r="H5" s="14">
        <v>7.98</v>
      </c>
      <c r="I5" s="14">
        <v>8.74</v>
      </c>
      <c r="J5" s="15">
        <f t="shared" si="2"/>
        <v>0.76</v>
      </c>
      <c r="K5" s="15">
        <v>1000</v>
      </c>
      <c r="L5" s="15">
        <f t="shared" si="3"/>
        <v>760</v>
      </c>
      <c r="M5" s="17">
        <f t="shared" si="4"/>
        <v>5943</v>
      </c>
      <c r="N5" s="18">
        <v>1.01445875</v>
      </c>
      <c r="O5" s="15">
        <f t="shared" si="5"/>
        <v>6028.92835125</v>
      </c>
      <c r="P5" s="19"/>
      <c r="Q5" s="12" t="s">
        <v>38</v>
      </c>
      <c r="R5" s="20"/>
      <c r="S5" s="20">
        <v>0.2142</v>
      </c>
      <c r="T5" s="20">
        <v>0.126</v>
      </c>
      <c r="U5" s="20">
        <v>0.0479</v>
      </c>
    </row>
    <row r="6" ht="52" customHeight="1" spans="1:21">
      <c r="A6" s="13" t="s">
        <v>18</v>
      </c>
      <c r="B6" s="14">
        <v>1053.65</v>
      </c>
      <c r="C6" s="14">
        <v>1163.9</v>
      </c>
      <c r="D6" s="15">
        <f t="shared" si="0"/>
        <v>110.25</v>
      </c>
      <c r="E6" s="15">
        <v>100</v>
      </c>
      <c r="F6" s="15">
        <f t="shared" si="1"/>
        <v>11025</v>
      </c>
      <c r="G6" s="16"/>
      <c r="H6" s="14">
        <v>14.79</v>
      </c>
      <c r="I6" s="14">
        <v>16.44</v>
      </c>
      <c r="J6" s="15">
        <f t="shared" si="2"/>
        <v>1.65</v>
      </c>
      <c r="K6" s="15">
        <v>1000</v>
      </c>
      <c r="L6" s="15">
        <f t="shared" si="3"/>
        <v>1650</v>
      </c>
      <c r="M6" s="17">
        <f t="shared" si="4"/>
        <v>9375</v>
      </c>
      <c r="N6" s="21">
        <v>0.60815675</v>
      </c>
      <c r="O6" s="15">
        <f t="shared" si="5"/>
        <v>5701.46953125</v>
      </c>
      <c r="P6" s="19"/>
      <c r="Q6" s="12" t="s">
        <v>39</v>
      </c>
      <c r="R6" s="20"/>
      <c r="S6" s="20">
        <v>0.0275</v>
      </c>
      <c r="T6" s="20">
        <v>0.0162</v>
      </c>
      <c r="U6" s="20">
        <v>0.0062</v>
      </c>
    </row>
    <row r="7" ht="52" customHeight="1" spans="1:21">
      <c r="A7" s="13" t="s">
        <v>19</v>
      </c>
      <c r="B7" s="14">
        <v>90.67</v>
      </c>
      <c r="C7" s="14">
        <v>92.03</v>
      </c>
      <c r="D7" s="15">
        <f t="shared" si="0"/>
        <v>1.36</v>
      </c>
      <c r="E7" s="15">
        <v>100</v>
      </c>
      <c r="F7" s="15">
        <f t="shared" si="1"/>
        <v>136</v>
      </c>
      <c r="G7" s="16"/>
      <c r="H7" s="14">
        <v>0.86</v>
      </c>
      <c r="I7" s="14">
        <v>0.86</v>
      </c>
      <c r="J7" s="15">
        <f t="shared" si="2"/>
        <v>0</v>
      </c>
      <c r="K7" s="15">
        <v>1000</v>
      </c>
      <c r="L7" s="15">
        <f t="shared" si="3"/>
        <v>0</v>
      </c>
      <c r="M7" s="17">
        <f t="shared" si="4"/>
        <v>136</v>
      </c>
      <c r="N7" s="21">
        <v>0.24829875</v>
      </c>
      <c r="O7" s="15">
        <f t="shared" si="5"/>
        <v>33.76863</v>
      </c>
      <c r="P7" s="19"/>
      <c r="Q7" s="12" t="s">
        <v>40</v>
      </c>
      <c r="R7" s="20"/>
      <c r="S7" s="20">
        <v>0.1173</v>
      </c>
      <c r="T7" s="20">
        <v>0.069</v>
      </c>
      <c r="U7" s="20">
        <v>0.0262</v>
      </c>
    </row>
    <row r="8" ht="52" customHeight="1" spans="1:21">
      <c r="A8" s="13" t="s">
        <v>20</v>
      </c>
      <c r="B8" s="14">
        <v>2421.86</v>
      </c>
      <c r="C8" s="14">
        <f>SUM(C4:C7)</f>
        <v>2673.07</v>
      </c>
      <c r="D8" s="15">
        <f t="shared" si="0"/>
        <v>251.21</v>
      </c>
      <c r="E8" s="15">
        <v>100</v>
      </c>
      <c r="F8" s="15">
        <f t="shared" si="1"/>
        <v>25121</v>
      </c>
      <c r="G8" s="16"/>
      <c r="H8" s="14">
        <v>31.95</v>
      </c>
      <c r="I8" s="14">
        <f>SUM(I4:I7)</f>
        <v>35.21</v>
      </c>
      <c r="J8" s="15">
        <f t="shared" si="2"/>
        <v>3.26</v>
      </c>
      <c r="K8" s="15">
        <v>1000</v>
      </c>
      <c r="L8" s="15">
        <f t="shared" si="3"/>
        <v>3260</v>
      </c>
      <c r="M8" s="17">
        <f t="shared" si="4"/>
        <v>21861</v>
      </c>
      <c r="N8" s="22"/>
      <c r="O8" s="23">
        <f>SUM(O4:O7)</f>
        <v>18254.673595</v>
      </c>
      <c r="P8" s="19"/>
      <c r="Q8" s="12" t="s">
        <v>41</v>
      </c>
      <c r="R8" s="20"/>
      <c r="S8" s="20">
        <v>0.02766875</v>
      </c>
      <c r="T8" s="20">
        <v>0.02766875</v>
      </c>
      <c r="U8" s="20">
        <v>0.02766875</v>
      </c>
    </row>
    <row r="9" ht="36" customHeight="1" spans="1:21">
      <c r="A9" s="24" t="s">
        <v>21</v>
      </c>
      <c r="B9" s="24"/>
      <c r="C9" s="24"/>
      <c r="D9" s="24"/>
      <c r="E9" s="24"/>
      <c r="F9" s="24"/>
      <c r="G9" s="24"/>
      <c r="H9" s="24"/>
      <c r="I9" s="25"/>
      <c r="J9" s="24"/>
      <c r="K9" s="24"/>
      <c r="L9" s="24"/>
      <c r="M9" s="24"/>
      <c r="N9" s="24"/>
      <c r="O9" s="24">
        <f>O8*0.9</f>
        <v>16429.2062355</v>
      </c>
      <c r="P9" s="26"/>
      <c r="Q9" s="27"/>
      <c r="R9" s="20"/>
      <c r="S9" s="20">
        <f t="shared" ref="S9:U9" si="6">SUM(S4:S8)</f>
        <v>1.01445875</v>
      </c>
      <c r="T9" s="20">
        <f t="shared" si="6"/>
        <v>0.60815675</v>
      </c>
      <c r="U9" s="20">
        <f t="shared" si="6"/>
        <v>0.24829875</v>
      </c>
    </row>
    <row r="10" ht="37" customHeight="1" spans="1:21">
      <c r="A10" s="28" t="s">
        <v>22</v>
      </c>
      <c r="B10" s="29"/>
      <c r="C10" s="29"/>
      <c r="D10" s="29"/>
      <c r="E10" s="29"/>
      <c r="N10" s="30" t="s">
        <v>23</v>
      </c>
      <c r="O10" s="30" t="s">
        <v>50</v>
      </c>
    </row>
    <row r="11" customHeight="1" spans="1:21">
      <c r="A11" s="31"/>
      <c r="B11" s="31"/>
      <c r="C11" s="31"/>
      <c r="D11" s="31"/>
      <c r="E11" s="31"/>
      <c r="F11" s="31"/>
      <c r="G11" s="31"/>
      <c r="H11" s="31"/>
    </row>
    <row r="12" customHeight="1" spans="1:21">
      <c r="C12" s="31">
        <v>9.17</v>
      </c>
      <c r="D12" s="31">
        <v>8.74</v>
      </c>
      <c r="E12" s="31">
        <v>16.44</v>
      </c>
      <c r="F12" s="31">
        <v>0.86</v>
      </c>
    </row>
    <row r="13" customHeight="1" spans="1:21">
      <c r="D13" s="31">
        <v>9.17</v>
      </c>
      <c r="E13" s="31">
        <v>8.74</v>
      </c>
      <c r="F13" s="31">
        <v>16.44</v>
      </c>
      <c r="G13" s="31">
        <v>0.86</v>
      </c>
    </row>
  </sheetData>
  <mergeCells count="7">
    <mergeCell ref="A1:O1"/>
    <mergeCell ref="A2:F2"/>
    <mergeCell ref="H2:L2"/>
    <mergeCell ref="M2:O2"/>
    <mergeCell ref="A9:N9"/>
    <mergeCell ref="A10:E10"/>
    <mergeCell ref="G4:G7"/>
  </mergeCells>
  <pageMargins left="0.314583333333333" right="0.145138888888889" top="0.724305555555556" bottom="0.747916666666667" header="0.314583333333333" footer="0.314583333333333"/>
  <pageSetup paperSize="9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202504</vt:lpstr>
      <vt:lpstr>202505</vt:lpstr>
      <vt:lpstr>202504 特</vt:lpstr>
      <vt:lpstr>202505特旺</vt:lpstr>
      <vt:lpstr>202506特旺 (2)</vt:lpstr>
      <vt:lpstr>202507特旺 (3)</vt:lpstr>
      <vt:lpstr>202508特旺 (3)</vt:lpstr>
      <vt:lpstr>202509特旺 (2)</vt:lpstr>
      <vt:lpstr>202510特旺 (3)</vt:lpstr>
      <vt:lpstr>202511特旺 (2)</vt:lpstr>
      <vt:lpstr>202512特旺</vt:lpstr>
      <vt:lpstr>202512+修正特旺 (2)</vt:lpstr>
      <vt:lpstr>202601特旺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曹贤奎</cp:lastModifiedBy>
  <dcterms:created xsi:type="dcterms:W3CDTF">2008-09-11T17:22:00Z</dcterms:created>
  <cp:lastPrinted>2022-11-14T05:54:00Z</cp:lastPrinted>
  <dcterms:modified xsi:type="dcterms:W3CDTF">2026-03-04T12:20:59Z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A975AAB170BD4E0C8D04F584603BDAC6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