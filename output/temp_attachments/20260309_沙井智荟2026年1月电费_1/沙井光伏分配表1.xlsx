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225" activeTab="7"/>
  </bookViews>
  <sheets>
    <sheet name="202507" sheetId="1" r:id="rId1"/>
    <sheet name="202508" sheetId="4" r:id="rId2"/>
    <sheet name="202509" sheetId="5" r:id="rId3"/>
    <sheet name="202510" sheetId="6" r:id="rId4"/>
    <sheet name="202511" sheetId="7" r:id="rId5"/>
    <sheet name="202512" sheetId="8" r:id="rId6"/>
    <sheet name="202601" sheetId="9" r:id="rId7"/>
    <sheet name="202601 (2)" sheetId="10" r:id="rId8"/>
    <sheet name="Sheet2" sheetId="2" r:id="rId9"/>
    <sheet name="Sheet3" sheetId="3" r:id="rId10"/>
  </sheets>
  <externalReferences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<sst xmlns="http://schemas.openxmlformats.org/spreadsheetml/2006/main" count="122" uniqueCount="36">
  <si>
    <t>耀嵘&amp;智荟光伏项目营收分配表（2025年7月）</t>
  </si>
  <si>
    <t>年月</t>
  </si>
  <si>
    <t>发电总电量</t>
  </si>
  <si>
    <t>自用电量</t>
  </si>
  <si>
    <t>自用金额</t>
  </si>
  <si>
    <t>参与分配单位比例</t>
  </si>
  <si>
    <t>备注</t>
  </si>
  <si>
    <t>深圳市耀嵘科技有限公司80%</t>
  </si>
  <si>
    <t>智荟互联网（深圳）有限合伙企业（有限合伙）20%</t>
  </si>
  <si>
    <t>智荟互联网本月应付耀 嵘科技电费</t>
  </si>
  <si>
    <t>上网电量（供电局）</t>
  </si>
  <si>
    <t>上网总金额</t>
  </si>
  <si>
    <t>备注：1、上网电量金额由供电局支收给耀嵘公司。</t>
  </si>
  <si>
    <t xml:space="preserve">     2、智荟互联网本月应付耀 嵘科技电费，93475.70-172.59等于本月应付电费93303.10元</t>
  </si>
  <si>
    <t>制表：曹贤奎    2025年8月18日</t>
  </si>
  <si>
    <t>耀嵘&amp;智荟光伏项目营收分配表（2025年8月）</t>
  </si>
  <si>
    <t xml:space="preserve">     2、智荟互联网本月应付耀 嵘科技电费，70448.11-175.31等于本月应付电费70272.80元</t>
  </si>
  <si>
    <t>制表：曹贤奎    2025年9月13日</t>
  </si>
  <si>
    <t>耀嵘&amp;智荟光伏项目营收分配表（2025年9月）</t>
  </si>
  <si>
    <t xml:space="preserve">     2、智荟互联网本月应付耀 嵘科技电费，79528.34-110.08等于本月应付电费79418.26元</t>
  </si>
  <si>
    <t>制表：曹贤奎    2025年10月13日</t>
  </si>
  <si>
    <t>耀嵘&amp;智荟光伏项目营收分配表（2025年10月）</t>
  </si>
  <si>
    <t xml:space="preserve">     2、智荟互联网本月应付耀 嵘科技电费，61803.95.22-534.09等于本月应付电费61269.87元</t>
  </si>
  <si>
    <t>制表：曹贤奎    2025年11月25日</t>
  </si>
  <si>
    <t>耀嵘&amp;智荟光伏项目营收分配表（2025年11月）</t>
  </si>
  <si>
    <t xml:space="preserve">     2、智荟互联网本月应付耀 嵘科技电费，54029.60-124.13等于本月应付电费53905.47元</t>
  </si>
  <si>
    <t>制表：曹贤奎    2025年12月21日</t>
  </si>
  <si>
    <t>耀嵘&amp;智荟光伏项目营收分配表（2025年12月）</t>
  </si>
  <si>
    <t xml:space="preserve">     2、智荟互联网本月应付耀 嵘科技电费29100.19-19.29等于本月应付电费29080.90元</t>
  </si>
  <si>
    <t>制表：曹贤奎    2026年1月19日</t>
  </si>
  <si>
    <t>耀嵘&amp;智荟光伏项目营收分配表（2026年1月）</t>
  </si>
  <si>
    <t>应付2025年12月差额余款</t>
  </si>
  <si>
    <t>总计</t>
  </si>
  <si>
    <t xml:space="preserve">     2、智荟互联网本月应付耀 嵘科技电费55299.90-501.20+12月份余款17782.17元等于本月应付电费72580.87元</t>
  </si>
  <si>
    <t>制表：曹贤奎    2026年3月2日</t>
  </si>
  <si>
    <t xml:space="preserve">     2、智荟互联网本月应付耀 嵘科技电费55299.90-501.20等于本月应付电费54798.70元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</si>
</sst>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Tahoma"/>
      <charset val="134"/>
    </font>
    <font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7" fontId="0" fillId="0" borderId="1" xfId="0" applyNumberForma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Fill="1" applyAlignment="1"/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27801;&#20117;&#26234;&#33631;&#20808;&#36827;&#21046;&#36896;&#20135;&#19994;&#2225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7801;&#20117;&#26234;&#33631;&#20808;&#36827;&#21046;&#36896;&#20135;&#19994;&#22253;%20-%20&#21103;&#264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503"/>
      <sheetName val="202504"/>
      <sheetName val="202505"/>
      <sheetName val="202507"/>
      <sheetName val="202508"/>
      <sheetName val="202509"/>
    </sheetNames>
    <sheetDataSet>
      <sheetData sheetId="0"/>
      <sheetData sheetId="1"/>
      <sheetData sheetId="2"/>
      <sheetData sheetId="3">
        <row r="6">
          <cell r="N6">
            <v>0.67611175</v>
          </cell>
        </row>
      </sheetData>
      <sheetData sheetId="4">
        <row r="6">
          <cell r="N6">
            <v>0.67864875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2601"/>
      <sheetName val="每月汇总"/>
    </sheetNames>
    <sheetDataSet>
      <sheetData sheetId="0">
        <row r="6">
          <cell r="O6">
            <v>0.404517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G19" sqref="G19"/>
    </sheetView>
  </sheetViews>
  <sheetFormatPr defaultColWidth="9" defaultRowHeight="13.5" outlineLevelCol="7"/>
  <cols>
    <col min="1" max="1" width="10.875" customWidth="1"/>
    <col min="2" max="2" width="8.625" customWidth="1"/>
    <col min="3" max="3" width="11.125" customWidth="1"/>
    <col min="4" max="4" width="15.75" customWidth="1"/>
    <col min="5" max="5" width="16.125" customWidth="1"/>
    <col min="6" max="6" width="25.375" customWidth="1"/>
    <col min="7" max="7" width="21.875" customWidth="1"/>
    <col min="8" max="8" width="11.125" customWidth="1"/>
    <col min="9" max="13" width="21.875" customWidth="1"/>
  </cols>
  <sheetData>
    <row r="1" ht="27" customHeight="1" spans="1:8">
      <c r="A1" s="1" t="s">
        <v>0</v>
      </c>
      <c r="B1" s="1"/>
      <c r="C1" s="1"/>
      <c r="D1" s="1"/>
      <c r="E1" s="1"/>
      <c r="F1" s="1"/>
      <c r="G1" s="1"/>
    </row>
    <row r="2" ht="27" customHeight="1" spans="1: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5" t="s">
        <v>6</v>
      </c>
    </row>
    <row r="3" ht="57" customHeight="1" spans="1:8">
      <c r="A3" s="2"/>
      <c r="B3" s="3"/>
      <c r="C3" s="4"/>
      <c r="D3" s="3"/>
      <c r="E3" s="4" t="s">
        <v>7</v>
      </c>
      <c r="F3" s="4" t="s">
        <v>8</v>
      </c>
      <c r="G3" s="4" t="s">
        <v>9</v>
      </c>
      <c r="H3" s="6"/>
    </row>
    <row r="4" ht="38" customHeight="1" spans="1:8">
      <c r="A4" s="7">
        <v>45839</v>
      </c>
      <c r="B4" s="3">
        <v>135720</v>
      </c>
      <c r="C4" s="8">
        <v>133815</v>
      </c>
      <c r="D4" s="8">
        <v>116844.62</v>
      </c>
      <c r="E4" s="9">
        <f>D4*0.8</f>
        <v>93475.696</v>
      </c>
      <c r="F4" s="9">
        <f>D4*0.2</f>
        <v>23368.924</v>
      </c>
      <c r="G4" s="10">
        <f>E4-F6</f>
        <v>93303.103</v>
      </c>
      <c r="H4" s="6"/>
    </row>
    <row r="5" ht="36" customHeight="1" spans="1:8">
      <c r="A5" s="5"/>
      <c r="B5" s="3"/>
      <c r="C5" s="4" t="s">
        <v>10</v>
      </c>
      <c r="D5" s="3" t="s">
        <v>11</v>
      </c>
      <c r="E5" s="11"/>
      <c r="F5" s="12"/>
      <c r="G5" s="13"/>
      <c r="H5" s="6"/>
    </row>
    <row r="6" ht="44" customHeight="1" spans="1:8">
      <c r="A6" s="5"/>
      <c r="B6" s="3"/>
      <c r="C6" s="8">
        <v>1905</v>
      </c>
      <c r="D6" s="4">
        <f>C6*0.453</f>
        <v>862.965</v>
      </c>
      <c r="E6" s="9">
        <f>D6*0.8</f>
        <v>690.372</v>
      </c>
      <c r="F6" s="9">
        <f>D6*0.2</f>
        <v>172.593</v>
      </c>
      <c r="G6" s="14"/>
      <c r="H6" s="6"/>
    </row>
    <row r="7" ht="31" customHeight="1" spans="1:8">
      <c r="A7" s="15" t="s">
        <v>12</v>
      </c>
      <c r="B7" s="15"/>
      <c r="C7" s="15"/>
      <c r="D7" s="15"/>
      <c r="E7" s="15"/>
      <c r="F7" s="15"/>
      <c r="G7" s="15"/>
      <c r="H7" s="6"/>
    </row>
    <row r="8" ht="27" customHeight="1" spans="1:8">
      <c r="A8" s="16" t="s">
        <v>13</v>
      </c>
      <c r="B8" s="16"/>
      <c r="C8" s="16"/>
      <c r="D8" s="16"/>
      <c r="E8" s="16"/>
      <c r="F8" s="16"/>
      <c r="G8" s="16"/>
    </row>
    <row r="9" ht="35" customHeight="1" spans="1:8">
      <c r="A9" s="17"/>
      <c r="B9" s="17"/>
      <c r="C9" s="17"/>
      <c r="D9" s="17"/>
      <c r="E9" s="18"/>
      <c r="F9" s="17" t="s">
        <v>14</v>
      </c>
      <c r="G9" s="17"/>
    </row>
    <row r="12" ht="16.5" spans="1:8">
      <c r="C12" s="24"/>
      <c r="D12" s="24"/>
      <c r="E12" s="24"/>
      <c r="F12" s="19"/>
      <c r="G12" s="19"/>
    </row>
  </sheetData>
  <mergeCells count="14">
    <mergeCell ref="A1:G1"/>
    <mergeCell ref="E2:F2"/>
    <mergeCell ref="A7:G7"/>
    <mergeCell ref="A8:G8"/>
    <mergeCell ref="A9:D9"/>
    <mergeCell ref="F9:G9"/>
    <mergeCell ref="A2:A3"/>
    <mergeCell ref="A4:A6"/>
    <mergeCell ref="B2:B3"/>
    <mergeCell ref="B4:B6"/>
    <mergeCell ref="C2:C3"/>
    <mergeCell ref="D2:D3"/>
    <mergeCell ref="G4:G6"/>
    <mergeCell ref="H3:H6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A4" workbookViewId="0">
      <selection activeCell="G19" sqref="G19"/>
    </sheetView>
  </sheetViews>
  <sheetFormatPr defaultColWidth="9" defaultRowHeight="13.5" outlineLevelCol="7"/>
  <cols>
    <col min="1" max="1" width="10.875" customWidth="1"/>
    <col min="2" max="2" width="8.625" customWidth="1"/>
    <col min="3" max="3" width="11.125" customWidth="1"/>
    <col min="4" max="4" width="15.75" customWidth="1"/>
    <col min="5" max="5" width="16.125" customWidth="1"/>
    <col min="6" max="6" width="25.375" customWidth="1"/>
    <col min="7" max="7" width="21.875" customWidth="1"/>
    <col min="8" max="8" width="11.125" customWidth="1"/>
    <col min="9" max="13" width="21.875" customWidth="1"/>
  </cols>
  <sheetData>
    <row r="1" ht="27" customHeight="1" spans="1:8">
      <c r="A1" s="1" t="s">
        <v>15</v>
      </c>
      <c r="B1" s="1"/>
      <c r="C1" s="1"/>
      <c r="D1" s="1"/>
      <c r="E1" s="1"/>
      <c r="F1" s="1"/>
      <c r="G1" s="1"/>
    </row>
    <row r="2" ht="27" customHeight="1" spans="1: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5" t="s">
        <v>6</v>
      </c>
    </row>
    <row r="3" ht="57" customHeight="1" spans="1:8">
      <c r="A3" s="2"/>
      <c r="B3" s="3"/>
      <c r="C3" s="4"/>
      <c r="D3" s="3"/>
      <c r="E3" s="4" t="s">
        <v>7</v>
      </c>
      <c r="F3" s="4" t="s">
        <v>8</v>
      </c>
      <c r="G3" s="4" t="s">
        <v>9</v>
      </c>
      <c r="H3" s="6"/>
    </row>
    <row r="4" ht="38" customHeight="1" spans="1:8">
      <c r="A4" s="7">
        <v>45870</v>
      </c>
      <c r="B4" s="3">
        <v>109884</v>
      </c>
      <c r="C4" s="8">
        <v>107949</v>
      </c>
      <c r="D4" s="8">
        <v>88060.14</v>
      </c>
      <c r="E4" s="9">
        <f>D4*0.8</f>
        <v>70448.112</v>
      </c>
      <c r="F4" s="9">
        <f>D4*0.2</f>
        <v>17612.028</v>
      </c>
      <c r="G4" s="10">
        <f>E4-F6</f>
        <v>70272.801</v>
      </c>
      <c r="H4" s="6"/>
    </row>
    <row r="5" ht="36" customHeight="1" spans="1:8">
      <c r="A5" s="5"/>
      <c r="B5" s="3"/>
      <c r="C5" s="4" t="s">
        <v>10</v>
      </c>
      <c r="D5" s="3" t="s">
        <v>11</v>
      </c>
      <c r="E5" s="11"/>
      <c r="F5" s="12"/>
      <c r="G5" s="13"/>
      <c r="H5" s="6"/>
    </row>
    <row r="6" ht="44" customHeight="1" spans="1:8">
      <c r="A6" s="5"/>
      <c r="B6" s="3"/>
      <c r="C6" s="8">
        <v>1935</v>
      </c>
      <c r="D6" s="4">
        <f>C6*0.453</f>
        <v>876.555</v>
      </c>
      <c r="E6" s="9">
        <f>D6*0.8</f>
        <v>701.244</v>
      </c>
      <c r="F6" s="9">
        <f>D6*0.2</f>
        <v>175.311</v>
      </c>
      <c r="G6" s="14"/>
      <c r="H6" s="6"/>
    </row>
    <row r="7" ht="31" customHeight="1" spans="1:8">
      <c r="A7" s="15" t="s">
        <v>12</v>
      </c>
      <c r="B7" s="15"/>
      <c r="C7" s="15"/>
      <c r="D7" s="15"/>
      <c r="E7" s="15"/>
      <c r="F7" s="15"/>
      <c r="G7" s="15"/>
      <c r="H7" s="6"/>
    </row>
    <row r="8" ht="27" customHeight="1" spans="1:8">
      <c r="A8" s="16" t="s">
        <v>16</v>
      </c>
      <c r="B8" s="16"/>
      <c r="C8" s="16"/>
      <c r="D8" s="16"/>
      <c r="E8" s="16"/>
      <c r="F8" s="16"/>
      <c r="G8" s="16"/>
    </row>
    <row r="9" ht="35" customHeight="1" spans="1:8">
      <c r="A9" s="17"/>
      <c r="B9" s="17"/>
      <c r="C9" s="17"/>
      <c r="D9" s="17"/>
      <c r="E9" s="18"/>
      <c r="F9" s="17" t="s">
        <v>17</v>
      </c>
      <c r="G9" s="17"/>
    </row>
    <row r="12" ht="16.5" spans="1:8">
      <c r="C12" s="24"/>
      <c r="D12" s="24"/>
      <c r="E12" s="24"/>
      <c r="F12" s="19"/>
      <c r="G12" s="19"/>
    </row>
  </sheetData>
  <mergeCells count="14">
    <mergeCell ref="A1:G1"/>
    <mergeCell ref="E2:F2"/>
    <mergeCell ref="A7:G7"/>
    <mergeCell ref="A8:G8"/>
    <mergeCell ref="A9:D9"/>
    <mergeCell ref="F9:G9"/>
    <mergeCell ref="A2:A3"/>
    <mergeCell ref="A4:A6"/>
    <mergeCell ref="B2:B3"/>
    <mergeCell ref="B4:B6"/>
    <mergeCell ref="C2:C3"/>
    <mergeCell ref="D2:D3"/>
    <mergeCell ref="G4:G6"/>
    <mergeCell ref="H3:H6"/>
  </mergeCell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A4" workbookViewId="0">
      <selection activeCell="G19" sqref="G19"/>
    </sheetView>
  </sheetViews>
  <sheetFormatPr defaultColWidth="9" defaultRowHeight="13.5" outlineLevelCol="7"/>
  <cols>
    <col min="1" max="1" width="10.875" customWidth="1"/>
    <col min="2" max="2" width="8.625" customWidth="1"/>
    <col min="3" max="3" width="11.125" customWidth="1"/>
    <col min="4" max="4" width="15.75" customWidth="1"/>
    <col min="5" max="5" width="16.125" customWidth="1"/>
    <col min="6" max="6" width="25.375" customWidth="1"/>
    <col min="7" max="7" width="21.875" customWidth="1"/>
    <col min="8" max="8" width="11.125" customWidth="1"/>
    <col min="9" max="13" width="21.875" customWidth="1"/>
  </cols>
  <sheetData>
    <row r="1" ht="27" customHeight="1" spans="1:8">
      <c r="A1" s="1" t="s">
        <v>18</v>
      </c>
      <c r="B1" s="1"/>
      <c r="C1" s="1"/>
      <c r="D1" s="1"/>
      <c r="E1" s="1"/>
      <c r="F1" s="1"/>
      <c r="G1" s="1"/>
    </row>
    <row r="2" ht="27" customHeight="1" spans="1: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5" t="s">
        <v>6</v>
      </c>
    </row>
    <row r="3" ht="57" customHeight="1" spans="1:8">
      <c r="A3" s="2"/>
      <c r="B3" s="3"/>
      <c r="C3" s="4"/>
      <c r="D3" s="3"/>
      <c r="E3" s="4" t="s">
        <v>7</v>
      </c>
      <c r="F3" s="4" t="s">
        <v>8</v>
      </c>
      <c r="G3" s="4" t="s">
        <v>9</v>
      </c>
      <c r="H3" s="6"/>
    </row>
    <row r="4" ht="38" customHeight="1" spans="1:8">
      <c r="A4" s="7">
        <v>45901</v>
      </c>
      <c r="B4" s="3">
        <v>108312</v>
      </c>
      <c r="C4" s="8">
        <v>107097</v>
      </c>
      <c r="D4" s="8">
        <v>99410.42</v>
      </c>
      <c r="E4" s="9">
        <f>D4*0.8</f>
        <v>79528.336</v>
      </c>
      <c r="F4" s="9">
        <f>D4*0.2</f>
        <v>19882.084</v>
      </c>
      <c r="G4" s="10">
        <f>E4-F6</f>
        <v>79418.257</v>
      </c>
      <c r="H4" s="6"/>
    </row>
    <row r="5" ht="36" customHeight="1" spans="1:8">
      <c r="A5" s="5"/>
      <c r="B5" s="3"/>
      <c r="C5" s="4" t="s">
        <v>10</v>
      </c>
      <c r="D5" s="3" t="s">
        <v>11</v>
      </c>
      <c r="E5" s="11"/>
      <c r="F5" s="12"/>
      <c r="G5" s="13"/>
      <c r="H5" s="6"/>
    </row>
    <row r="6" ht="44" customHeight="1" spans="1:8">
      <c r="A6" s="5"/>
      <c r="B6" s="3"/>
      <c r="C6" s="8">
        <v>1215</v>
      </c>
      <c r="D6" s="4">
        <f>C6*0.453</f>
        <v>550.395</v>
      </c>
      <c r="E6" s="9">
        <f>D6*0.8</f>
        <v>440.316</v>
      </c>
      <c r="F6" s="9">
        <f>D6*0.2</f>
        <v>110.079</v>
      </c>
      <c r="G6" s="14"/>
      <c r="H6" s="6"/>
    </row>
    <row r="7" ht="31" customHeight="1" spans="1:8">
      <c r="A7" s="15" t="s">
        <v>12</v>
      </c>
      <c r="B7" s="15"/>
      <c r="C7" s="15"/>
      <c r="D7" s="15"/>
      <c r="E7" s="15"/>
      <c r="F7" s="15"/>
      <c r="G7" s="15"/>
      <c r="H7" s="6"/>
    </row>
    <row r="8" ht="27" customHeight="1" spans="1:8">
      <c r="A8" s="16" t="s">
        <v>19</v>
      </c>
      <c r="B8" s="16"/>
      <c r="C8" s="16"/>
      <c r="D8" s="16"/>
      <c r="E8" s="16"/>
      <c r="F8" s="16"/>
      <c r="G8" s="16"/>
    </row>
    <row r="9" ht="35" customHeight="1" spans="1:8">
      <c r="A9" s="17"/>
      <c r="B9" s="17"/>
      <c r="C9" s="17"/>
      <c r="D9" s="17"/>
      <c r="E9" s="18"/>
      <c r="F9" s="17" t="s">
        <v>20</v>
      </c>
      <c r="G9" s="17"/>
    </row>
    <row r="12" ht="16.5" spans="1:8">
      <c r="C12" s="24"/>
      <c r="D12" s="24"/>
      <c r="E12" s="24"/>
      <c r="F12" s="19"/>
      <c r="G12" s="19"/>
    </row>
  </sheetData>
  <mergeCells count="14">
    <mergeCell ref="A1:G1"/>
    <mergeCell ref="E2:F2"/>
    <mergeCell ref="A7:G7"/>
    <mergeCell ref="A8:G8"/>
    <mergeCell ref="A9:D9"/>
    <mergeCell ref="F9:G9"/>
    <mergeCell ref="A2:A3"/>
    <mergeCell ref="A4:A6"/>
    <mergeCell ref="B2:B3"/>
    <mergeCell ref="B4:B6"/>
    <mergeCell ref="C2:C3"/>
    <mergeCell ref="D2:D3"/>
    <mergeCell ref="G4:G6"/>
    <mergeCell ref="H3:H6"/>
  </mergeCell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I10" sqref="I10"/>
    </sheetView>
  </sheetViews>
  <sheetFormatPr defaultColWidth="9" defaultRowHeight="13.5" outlineLevelCol="7"/>
  <cols>
    <col min="1" max="1" width="10.875" customWidth="1"/>
    <col min="2" max="2" width="8.625" customWidth="1"/>
    <col min="3" max="3" width="11.125" customWidth="1"/>
    <col min="4" max="4" width="15.75" customWidth="1"/>
    <col min="5" max="5" width="16.125" customWidth="1"/>
    <col min="6" max="6" width="25.375" customWidth="1"/>
    <col min="7" max="7" width="21.875" customWidth="1"/>
    <col min="8" max="8" width="11.125" customWidth="1"/>
    <col min="9" max="13" width="21.875" customWidth="1"/>
  </cols>
  <sheetData>
    <row r="1" ht="27" customHeight="1" spans="1:8">
      <c r="A1" s="1" t="s">
        <v>21</v>
      </c>
      <c r="B1" s="1"/>
      <c r="C1" s="1"/>
      <c r="D1" s="1"/>
      <c r="E1" s="1"/>
      <c r="F1" s="1"/>
      <c r="G1" s="1"/>
    </row>
    <row r="2" ht="27" customHeight="1" spans="1: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5" t="s">
        <v>6</v>
      </c>
    </row>
    <row r="3" ht="57" customHeight="1" spans="1:8">
      <c r="A3" s="2"/>
      <c r="B3" s="3"/>
      <c r="C3" s="4"/>
      <c r="D3" s="3"/>
      <c r="E3" s="4" t="s">
        <v>7</v>
      </c>
      <c r="F3" s="4" t="s">
        <v>8</v>
      </c>
      <c r="G3" s="4" t="s">
        <v>9</v>
      </c>
      <c r="H3" s="6"/>
    </row>
    <row r="4" ht="38" customHeight="1" spans="1:8">
      <c r="A4" s="7">
        <v>45931</v>
      </c>
      <c r="B4" s="3">
        <v>94684</v>
      </c>
      <c r="C4" s="8">
        <v>88789</v>
      </c>
      <c r="D4" s="8">
        <v>77254.94</v>
      </c>
      <c r="E4" s="9">
        <f>D4*0.8</f>
        <v>61803.952</v>
      </c>
      <c r="F4" s="9">
        <f>D4*0.2</f>
        <v>15450.988</v>
      </c>
      <c r="G4" s="10">
        <f>E4-F6</f>
        <v>61269.865</v>
      </c>
      <c r="H4" s="6"/>
    </row>
    <row r="5" ht="36" customHeight="1" spans="1:8">
      <c r="A5" s="5"/>
      <c r="B5" s="3"/>
      <c r="C5" s="4" t="s">
        <v>10</v>
      </c>
      <c r="D5" s="3" t="s">
        <v>11</v>
      </c>
      <c r="E5" s="11"/>
      <c r="F5" s="12"/>
      <c r="G5" s="13"/>
      <c r="H5" s="6"/>
    </row>
    <row r="6" ht="44" customHeight="1" spans="1:8">
      <c r="A6" s="5"/>
      <c r="B6" s="3"/>
      <c r="C6" s="8">
        <v>5895</v>
      </c>
      <c r="D6" s="4">
        <f>C6*0.453</f>
        <v>2670.435</v>
      </c>
      <c r="E6" s="9">
        <f>D6*0.8</f>
        <v>2136.348</v>
      </c>
      <c r="F6" s="9">
        <f>D6*0.2</f>
        <v>534.087</v>
      </c>
      <c r="G6" s="14"/>
      <c r="H6" s="6"/>
    </row>
    <row r="7" ht="31" customHeight="1" spans="1:8">
      <c r="A7" s="15" t="s">
        <v>12</v>
      </c>
      <c r="B7" s="15"/>
      <c r="C7" s="15"/>
      <c r="D7" s="15"/>
      <c r="E7" s="15"/>
      <c r="F7" s="15"/>
      <c r="G7" s="15"/>
      <c r="H7" s="6"/>
    </row>
    <row r="8" ht="27" customHeight="1" spans="1:8">
      <c r="A8" s="16" t="s">
        <v>22</v>
      </c>
      <c r="B8" s="16"/>
      <c r="C8" s="16"/>
      <c r="D8" s="16"/>
      <c r="E8" s="16"/>
      <c r="F8" s="16"/>
      <c r="G8" s="16"/>
    </row>
    <row r="9" ht="35" customHeight="1" spans="1:8">
      <c r="A9" s="17"/>
      <c r="B9" s="17"/>
      <c r="C9" s="17"/>
      <c r="D9" s="17"/>
      <c r="E9" s="18"/>
      <c r="F9" s="17" t="s">
        <v>23</v>
      </c>
      <c r="G9" s="17"/>
    </row>
    <row r="12" ht="16.5" spans="1:8">
      <c r="C12" s="24"/>
      <c r="D12" s="24"/>
      <c r="E12" s="24"/>
      <c r="F12" s="19"/>
      <c r="G12" s="19"/>
    </row>
  </sheetData>
  <mergeCells count="14">
    <mergeCell ref="A1:G1"/>
    <mergeCell ref="E2:F2"/>
    <mergeCell ref="A7:G7"/>
    <mergeCell ref="A8:G8"/>
    <mergeCell ref="A9:D9"/>
    <mergeCell ref="F9:G9"/>
    <mergeCell ref="A2:A3"/>
    <mergeCell ref="A4:A6"/>
    <mergeCell ref="B2:B3"/>
    <mergeCell ref="B4:B6"/>
    <mergeCell ref="C2:C3"/>
    <mergeCell ref="D2:D3"/>
    <mergeCell ref="G4:G6"/>
    <mergeCell ref="H3:H6"/>
  </mergeCells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E16" sqref="E16"/>
    </sheetView>
  </sheetViews>
  <sheetFormatPr defaultColWidth="9" defaultRowHeight="13.5" outlineLevelCol="7"/>
  <cols>
    <col min="1" max="1" width="10.875" customWidth="1"/>
    <col min="2" max="2" width="8.625" customWidth="1"/>
    <col min="3" max="3" width="11.125" customWidth="1"/>
    <col min="4" max="4" width="15.75" customWidth="1"/>
    <col min="5" max="5" width="16.125" customWidth="1"/>
    <col min="6" max="6" width="25.375" customWidth="1"/>
    <col min="7" max="7" width="21.875" customWidth="1"/>
    <col min="8" max="8" width="11.125" customWidth="1"/>
    <col min="9" max="13" width="21.875" customWidth="1"/>
  </cols>
  <sheetData>
    <row r="1" ht="27" customHeight="1" spans="1:8">
      <c r="A1" s="1" t="s">
        <v>24</v>
      </c>
      <c r="B1" s="1"/>
      <c r="C1" s="1"/>
      <c r="D1" s="1"/>
      <c r="E1" s="1"/>
      <c r="F1" s="1"/>
      <c r="G1" s="1"/>
    </row>
    <row r="2" ht="27" customHeight="1" spans="1: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5" t="s">
        <v>6</v>
      </c>
    </row>
    <row r="3" ht="57" customHeight="1" spans="1:8">
      <c r="A3" s="2"/>
      <c r="B3" s="3"/>
      <c r="C3" s="4"/>
      <c r="D3" s="3"/>
      <c r="E3" s="4" t="s">
        <v>7</v>
      </c>
      <c r="F3" s="4" t="s">
        <v>8</v>
      </c>
      <c r="G3" s="4" t="s">
        <v>9</v>
      </c>
      <c r="H3" s="6"/>
    </row>
    <row r="4" ht="38" customHeight="1" spans="1:8">
      <c r="A4" s="7">
        <v>45962</v>
      </c>
      <c r="B4" s="3">
        <v>94684</v>
      </c>
      <c r="C4" s="8">
        <v>68932</v>
      </c>
      <c r="D4" s="8">
        <v>67537</v>
      </c>
      <c r="E4" s="9">
        <f>D4*0.8</f>
        <v>54029.6</v>
      </c>
      <c r="F4" s="9">
        <f>D4*0.2</f>
        <v>13507.4</v>
      </c>
      <c r="G4" s="10">
        <f>E4-F6</f>
        <v>53905.472</v>
      </c>
      <c r="H4" s="6"/>
    </row>
    <row r="5" ht="36" customHeight="1" spans="1:8">
      <c r="A5" s="5"/>
      <c r="B5" s="3"/>
      <c r="C5" s="4" t="s">
        <v>10</v>
      </c>
      <c r="D5" s="3" t="s">
        <v>11</v>
      </c>
      <c r="E5" s="11"/>
      <c r="F5" s="12"/>
      <c r="G5" s="13"/>
      <c r="H5" s="6"/>
    </row>
    <row r="6" ht="44" customHeight="1" spans="1:8">
      <c r="A6" s="5"/>
      <c r="B6" s="3"/>
      <c r="C6" s="8">
        <v>1395</v>
      </c>
      <c r="D6" s="4">
        <v>620.64</v>
      </c>
      <c r="E6" s="9">
        <f>D6*0.8</f>
        <v>496.512</v>
      </c>
      <c r="F6" s="9">
        <f>D6*0.2</f>
        <v>124.128</v>
      </c>
      <c r="G6" s="14"/>
      <c r="H6" s="6"/>
    </row>
    <row r="7" ht="31" customHeight="1" spans="1:8">
      <c r="A7" s="15" t="s">
        <v>12</v>
      </c>
      <c r="B7" s="15"/>
      <c r="C7" s="15"/>
      <c r="D7" s="15"/>
      <c r="E7" s="15"/>
      <c r="F7" s="15"/>
      <c r="G7" s="15"/>
      <c r="H7" s="6"/>
    </row>
    <row r="8" ht="27" customHeight="1" spans="1:8">
      <c r="A8" s="16" t="s">
        <v>25</v>
      </c>
      <c r="B8" s="16"/>
      <c r="C8" s="16"/>
      <c r="D8" s="16"/>
      <c r="E8" s="16"/>
      <c r="F8" s="16"/>
      <c r="G8" s="16"/>
    </row>
    <row r="9" ht="35" customHeight="1" spans="1:8">
      <c r="A9" s="17"/>
      <c r="B9" s="17"/>
      <c r="C9" s="17"/>
      <c r="D9" s="17"/>
      <c r="E9" s="18"/>
      <c r="F9" s="17" t="s">
        <v>26</v>
      </c>
      <c r="G9" s="17"/>
    </row>
    <row r="12" ht="16.5" spans="1:8">
      <c r="C12" s="24"/>
      <c r="D12" s="24"/>
      <c r="E12" s="24"/>
      <c r="F12" s="19"/>
      <c r="G12" s="19"/>
    </row>
  </sheetData>
  <mergeCells count="14">
    <mergeCell ref="A1:G1"/>
    <mergeCell ref="E2:F2"/>
    <mergeCell ref="A7:G7"/>
    <mergeCell ref="A8:G8"/>
    <mergeCell ref="A9:D9"/>
    <mergeCell ref="F9:G9"/>
    <mergeCell ref="A2:A3"/>
    <mergeCell ref="A4:A6"/>
    <mergeCell ref="B2:B3"/>
    <mergeCell ref="B4:B6"/>
    <mergeCell ref="C2:C3"/>
    <mergeCell ref="D2:D3"/>
    <mergeCell ref="G4:G6"/>
    <mergeCell ref="H3:H6"/>
  </mergeCells>
  <pageMargins left="0.7" right="0.7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I9" sqref="I9"/>
    </sheetView>
  </sheetViews>
  <sheetFormatPr defaultColWidth="9" defaultRowHeight="13.5" outlineLevelCol="7"/>
  <cols>
    <col min="1" max="1" width="10.875" customWidth="1"/>
    <col min="2" max="2" width="8.625" customWidth="1"/>
    <col min="3" max="3" width="11.125" customWidth="1"/>
    <col min="4" max="4" width="15.75" customWidth="1"/>
    <col min="5" max="5" width="16.125" customWidth="1"/>
    <col min="6" max="6" width="25.375" customWidth="1"/>
    <col min="7" max="7" width="21.875" customWidth="1"/>
    <col min="8" max="8" width="11.125" customWidth="1"/>
    <col min="9" max="13" width="21.875" customWidth="1"/>
  </cols>
  <sheetData>
    <row r="1" ht="27" customHeight="1" spans="1:8">
      <c r="A1" s="1" t="s">
        <v>27</v>
      </c>
      <c r="B1" s="1"/>
      <c r="C1" s="1"/>
      <c r="D1" s="1"/>
      <c r="E1" s="1"/>
      <c r="F1" s="1"/>
      <c r="G1" s="1"/>
    </row>
    <row r="2" ht="27" customHeight="1" spans="1: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5" t="s">
        <v>6</v>
      </c>
    </row>
    <row r="3" ht="57" customHeight="1" spans="1:8">
      <c r="A3" s="2"/>
      <c r="B3" s="3"/>
      <c r="C3" s="4"/>
      <c r="D3" s="3"/>
      <c r="E3" s="4" t="s">
        <v>7</v>
      </c>
      <c r="F3" s="4" t="s">
        <v>8</v>
      </c>
      <c r="G3" s="4" t="s">
        <v>9</v>
      </c>
      <c r="H3" s="6"/>
    </row>
    <row r="4" ht="38" customHeight="1" spans="1:8">
      <c r="A4" s="7">
        <v>45992</v>
      </c>
      <c r="B4" s="3">
        <v>94684</v>
      </c>
      <c r="C4" s="8">
        <v>63412</v>
      </c>
      <c r="D4" s="8">
        <v>36375.24</v>
      </c>
      <c r="E4" s="9">
        <f>D4*0.8</f>
        <v>29100.192</v>
      </c>
      <c r="F4" s="9">
        <f>D4*0.2</f>
        <v>7275.048</v>
      </c>
      <c r="G4" s="10">
        <f>E4-F6</f>
        <v>29080.9</v>
      </c>
      <c r="H4" s="6"/>
    </row>
    <row r="5" ht="36" customHeight="1" spans="1:8">
      <c r="A5" s="5"/>
      <c r="B5" s="3"/>
      <c r="C5" s="4" t="s">
        <v>10</v>
      </c>
      <c r="D5" s="3" t="s">
        <v>11</v>
      </c>
      <c r="E5" s="11"/>
      <c r="F5" s="12"/>
      <c r="G5" s="13"/>
      <c r="H5" s="6"/>
    </row>
    <row r="6" ht="44" customHeight="1" spans="1:8">
      <c r="A6" s="5"/>
      <c r="B6" s="3"/>
      <c r="C6" s="8">
        <v>255</v>
      </c>
      <c r="D6" s="4">
        <v>96.46</v>
      </c>
      <c r="E6" s="9">
        <f>D6*0.8</f>
        <v>77.168</v>
      </c>
      <c r="F6" s="9">
        <f>D6*0.2</f>
        <v>19.292</v>
      </c>
      <c r="G6" s="14"/>
      <c r="H6" s="6"/>
    </row>
    <row r="7" ht="31" customHeight="1" spans="1:8">
      <c r="A7" s="15" t="s">
        <v>12</v>
      </c>
      <c r="B7" s="15"/>
      <c r="C7" s="15"/>
      <c r="D7" s="15"/>
      <c r="E7" s="15"/>
      <c r="F7" s="15"/>
      <c r="G7" s="15"/>
      <c r="H7" s="6"/>
    </row>
    <row r="8" ht="27" customHeight="1" spans="1:8">
      <c r="A8" s="16" t="s">
        <v>28</v>
      </c>
      <c r="B8" s="16"/>
      <c r="C8" s="16"/>
      <c r="D8" s="16"/>
      <c r="E8" s="16"/>
      <c r="F8" s="16"/>
      <c r="G8" s="16"/>
    </row>
    <row r="9" ht="35" customHeight="1" spans="1:8">
      <c r="A9" s="17"/>
      <c r="B9" s="17"/>
      <c r="C9" s="17"/>
      <c r="D9" s="17"/>
      <c r="E9" s="18"/>
      <c r="F9" s="17" t="s">
        <v>29</v>
      </c>
      <c r="G9" s="17"/>
    </row>
    <row r="12" ht="14.25" spans="1:8">
      <c r="F12" s="19"/>
      <c r="G12" s="19"/>
    </row>
  </sheetData>
  <mergeCells count="14">
    <mergeCell ref="A1:G1"/>
    <mergeCell ref="E2:F2"/>
    <mergeCell ref="A7:G7"/>
    <mergeCell ref="A8:G8"/>
    <mergeCell ref="A9:D9"/>
    <mergeCell ref="F9:G9"/>
    <mergeCell ref="A2:A3"/>
    <mergeCell ref="A4:A6"/>
    <mergeCell ref="B2:B3"/>
    <mergeCell ref="B4:B6"/>
    <mergeCell ref="C2:C3"/>
    <mergeCell ref="D2:D3"/>
    <mergeCell ref="G4:G6"/>
    <mergeCell ref="H3:H6"/>
  </mergeCells>
  <pageMargins left="0.7" right="0.7" top="0.75" bottom="0.75" header="0.3" footer="0.3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opLeftCell="A4" workbookViewId="0">
      <selection activeCell="I7" sqref="I7"/>
    </sheetView>
  </sheetViews>
  <sheetFormatPr defaultColWidth="9" defaultRowHeight="13.5" outlineLevelCol="7"/>
  <cols>
    <col min="1" max="1" width="10.875" customWidth="1"/>
    <col min="2" max="2" width="8.625" customWidth="1"/>
    <col min="3" max="3" width="11.125" customWidth="1"/>
    <col min="4" max="4" width="15.75" customWidth="1"/>
    <col min="5" max="5" width="16.125" customWidth="1"/>
    <col min="6" max="6" width="25.375" customWidth="1"/>
    <col min="7" max="7" width="21.875" customWidth="1"/>
    <col min="8" max="8" width="11.125" customWidth="1"/>
    <col min="9" max="13" width="21.875" customWidth="1"/>
  </cols>
  <sheetData>
    <row r="1" ht="27" customHeight="1" spans="1:8">
      <c r="A1" s="1" t="s">
        <v>30</v>
      </c>
      <c r="B1" s="1"/>
      <c r="C1" s="1"/>
      <c r="D1" s="1"/>
      <c r="E1" s="1"/>
      <c r="F1" s="1"/>
      <c r="G1" s="1"/>
    </row>
    <row r="2" ht="27" customHeight="1" spans="1: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5" t="s">
        <v>6</v>
      </c>
    </row>
    <row r="3" ht="57" customHeight="1" spans="1:8">
      <c r="A3" s="2"/>
      <c r="B3" s="3"/>
      <c r="C3" s="4"/>
      <c r="D3" s="3"/>
      <c r="E3" s="4" t="s">
        <v>7</v>
      </c>
      <c r="F3" s="4" t="s">
        <v>8</v>
      </c>
      <c r="G3" s="4" t="s">
        <v>9</v>
      </c>
      <c r="H3" s="6"/>
    </row>
    <row r="4" ht="38" customHeight="1" spans="1:8">
      <c r="A4" s="7">
        <v>45658</v>
      </c>
      <c r="B4" s="3">
        <v>83784</v>
      </c>
      <c r="C4" s="8">
        <v>77589</v>
      </c>
      <c r="D4" s="8">
        <v>69124.87</v>
      </c>
      <c r="E4" s="9">
        <f>D4*0.8</f>
        <v>55299.896</v>
      </c>
      <c r="F4" s="9">
        <f>D4*0.2</f>
        <v>13824.974</v>
      </c>
      <c r="G4" s="10">
        <f>E4-F6</f>
        <v>54798.699437</v>
      </c>
      <c r="H4" s="6"/>
    </row>
    <row r="5" ht="36" customHeight="1" spans="1:8">
      <c r="A5" s="5"/>
      <c r="B5" s="3"/>
      <c r="C5" s="4" t="s">
        <v>10</v>
      </c>
      <c r="D5" s="3" t="s">
        <v>11</v>
      </c>
      <c r="E5" s="11"/>
      <c r="F5" s="12"/>
      <c r="G5" s="13"/>
      <c r="H5" s="6"/>
    </row>
    <row r="6" ht="44" customHeight="1" spans="1:8">
      <c r="A6" s="5"/>
      <c r="B6" s="3"/>
      <c r="C6" s="8">
        <v>6195</v>
      </c>
      <c r="D6" s="4">
        <f>C6*'[2]202601'!$O$6</f>
        <v>2505.982815</v>
      </c>
      <c r="E6" s="9">
        <f>D6*0.8</f>
        <v>2004.786252</v>
      </c>
      <c r="F6" s="9">
        <f>D6*0.2</f>
        <v>501.196563</v>
      </c>
      <c r="G6" s="14"/>
      <c r="H6" s="6"/>
    </row>
    <row r="7" ht="44" customHeight="1" spans="1:8">
      <c r="A7" s="20" t="s">
        <v>31</v>
      </c>
      <c r="B7" s="21"/>
      <c r="C7" s="21"/>
      <c r="D7" s="21"/>
      <c r="E7" s="21"/>
      <c r="F7" s="22"/>
      <c r="G7" s="5">
        <v>17782.17</v>
      </c>
      <c r="H7" s="6"/>
    </row>
    <row r="8" ht="31" customHeight="1" spans="1:8">
      <c r="A8" s="20" t="s">
        <v>32</v>
      </c>
      <c r="B8" s="21"/>
      <c r="C8" s="21"/>
      <c r="D8" s="21"/>
      <c r="E8" s="21"/>
      <c r="F8" s="22"/>
      <c r="G8" s="23">
        <f>SUM(G4:G7)</f>
        <v>72580.869437</v>
      </c>
      <c r="H8" s="6"/>
    </row>
    <row r="9" ht="31" customHeight="1" spans="1:8">
      <c r="A9" s="15" t="s">
        <v>12</v>
      </c>
      <c r="B9" s="15"/>
      <c r="C9" s="15"/>
      <c r="D9" s="15"/>
      <c r="E9" s="15"/>
      <c r="F9" s="15"/>
      <c r="G9" s="15"/>
      <c r="H9" s="6"/>
    </row>
    <row r="10" ht="27" customHeight="1" spans="1:8">
      <c r="A10" s="16" t="s">
        <v>33</v>
      </c>
      <c r="B10" s="16"/>
      <c r="C10" s="16"/>
      <c r="D10" s="16"/>
      <c r="E10" s="16"/>
      <c r="F10" s="16"/>
      <c r="G10" s="16"/>
    </row>
    <row r="11" ht="35" customHeight="1" spans="1:8">
      <c r="A11" s="17"/>
      <c r="B11" s="17"/>
      <c r="C11" s="17"/>
      <c r="D11" s="17"/>
      <c r="E11" s="18"/>
      <c r="F11" s="17" t="s">
        <v>34</v>
      </c>
      <c r="G11" s="17"/>
    </row>
    <row r="14" ht="14.25" spans="1:8">
      <c r="F14" s="19"/>
      <c r="G14" s="19"/>
    </row>
  </sheetData>
  <mergeCells count="16">
    <mergeCell ref="A1:G1"/>
    <mergeCell ref="E2:F2"/>
    <mergeCell ref="A7:F7"/>
    <mergeCell ref="A8:F8"/>
    <mergeCell ref="A9:G9"/>
    <mergeCell ref="A10:G10"/>
    <mergeCell ref="A11:D11"/>
    <mergeCell ref="F11:G11"/>
    <mergeCell ref="A2:A3"/>
    <mergeCell ref="A4:A6"/>
    <mergeCell ref="B2:B3"/>
    <mergeCell ref="B4:B6"/>
    <mergeCell ref="C2:C3"/>
    <mergeCell ref="D2:D3"/>
    <mergeCell ref="G4:G6"/>
    <mergeCell ref="H3:H6"/>
  </mergeCells>
  <pageMargins left="0.7" right="0.7" top="0.75" bottom="0.75" header="0.3" footer="0.3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H7" sqref="H7"/>
    </sheetView>
  </sheetViews>
  <sheetFormatPr defaultColWidth="9" defaultRowHeight="13.5" outlineLevelCol="7"/>
  <cols>
    <col min="1" max="1" width="10.875" customWidth="1"/>
    <col min="2" max="2" width="8.625" customWidth="1"/>
    <col min="3" max="3" width="11.125" customWidth="1"/>
    <col min="4" max="4" width="15.75" customWidth="1"/>
    <col min="5" max="5" width="16.125" customWidth="1"/>
    <col min="6" max="6" width="25.375" customWidth="1"/>
    <col min="7" max="7" width="21.875" customWidth="1"/>
    <col min="8" max="8" width="11.125" customWidth="1"/>
    <col min="9" max="13" width="21.875" customWidth="1"/>
  </cols>
  <sheetData>
    <row r="1" ht="27" customHeight="1" spans="1:8">
      <c r="A1" s="1" t="s">
        <v>30</v>
      </c>
      <c r="B1" s="1"/>
      <c r="C1" s="1"/>
      <c r="D1" s="1"/>
      <c r="E1" s="1"/>
      <c r="F1" s="1"/>
      <c r="G1" s="1"/>
    </row>
    <row r="2" ht="27" customHeight="1" spans="1:8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/>
      <c r="G2" s="5" t="s">
        <v>6</v>
      </c>
    </row>
    <row r="3" ht="57" customHeight="1" spans="1:8">
      <c r="A3" s="2"/>
      <c r="B3" s="3"/>
      <c r="C3" s="4"/>
      <c r="D3" s="3"/>
      <c r="E3" s="4" t="s">
        <v>7</v>
      </c>
      <c r="F3" s="4" t="s">
        <v>8</v>
      </c>
      <c r="G3" s="4" t="s">
        <v>9</v>
      </c>
      <c r="H3" s="6"/>
    </row>
    <row r="4" ht="52" customHeight="1" spans="1:8">
      <c r="A4" s="7">
        <v>45658</v>
      </c>
      <c r="B4" s="3">
        <v>83784</v>
      </c>
      <c r="C4" s="8">
        <v>77589</v>
      </c>
      <c r="D4" s="8">
        <v>69124.87</v>
      </c>
      <c r="E4" s="9">
        <f>D4*0.8</f>
        <v>55299.896</v>
      </c>
      <c r="F4" s="9">
        <f>D4*0.2</f>
        <v>13824.974</v>
      </c>
      <c r="G4" s="10">
        <f>E4-F6</f>
        <v>54798.699437</v>
      </c>
      <c r="H4" s="6"/>
    </row>
    <row r="5" ht="52" customHeight="1" spans="1:8">
      <c r="A5" s="5"/>
      <c r="B5" s="3"/>
      <c r="C5" s="4" t="s">
        <v>10</v>
      </c>
      <c r="D5" s="3" t="s">
        <v>11</v>
      </c>
      <c r="E5" s="11"/>
      <c r="F5" s="12"/>
      <c r="G5" s="13"/>
      <c r="H5" s="6"/>
    </row>
    <row r="6" ht="52" customHeight="1" spans="1:8">
      <c r="A6" s="5"/>
      <c r="B6" s="3"/>
      <c r="C6" s="8">
        <v>6195</v>
      </c>
      <c r="D6" s="4">
        <f>C6*'[2]202601'!$O$6</f>
        <v>2505.982815</v>
      </c>
      <c r="E6" s="9">
        <f>D6*0.8</f>
        <v>2004.786252</v>
      </c>
      <c r="F6" s="9">
        <f>D6*0.2</f>
        <v>501.196563</v>
      </c>
      <c r="G6" s="14"/>
      <c r="H6" s="6"/>
    </row>
    <row r="7" ht="52" customHeight="1" spans="1:8">
      <c r="A7" s="15" t="s">
        <v>12</v>
      </c>
      <c r="B7" s="15"/>
      <c r="C7" s="15"/>
      <c r="D7" s="15"/>
      <c r="E7" s="15"/>
      <c r="F7" s="15"/>
      <c r="G7" s="15"/>
      <c r="H7" s="6"/>
    </row>
    <row r="8" ht="52" customHeight="1" spans="1:8">
      <c r="A8" s="16" t="s">
        <v>35</v>
      </c>
      <c r="B8" s="16"/>
      <c r="C8" s="16"/>
      <c r="D8" s="16"/>
      <c r="E8" s="16"/>
      <c r="F8" s="16"/>
      <c r="G8" s="16"/>
    </row>
    <row r="9" ht="52" customHeight="1" spans="1:8">
      <c r="A9" s="17"/>
      <c r="B9" s="17"/>
      <c r="C9" s="17"/>
      <c r="D9" s="17"/>
      <c r="E9" s="18"/>
      <c r="F9" s="17" t="s">
        <v>34</v>
      </c>
      <c r="G9" s="17"/>
    </row>
    <row r="12" ht="14.25" spans="1:8">
      <c r="F12" s="19"/>
      <c r="G12" s="19"/>
    </row>
  </sheetData>
  <mergeCells count="14">
    <mergeCell ref="A1:G1"/>
    <mergeCell ref="E2:F2"/>
    <mergeCell ref="A7:G7"/>
    <mergeCell ref="A8:G8"/>
    <mergeCell ref="A9:D9"/>
    <mergeCell ref="F9:G9"/>
    <mergeCell ref="A2:A3"/>
    <mergeCell ref="A4:A6"/>
    <mergeCell ref="B2:B3"/>
    <mergeCell ref="B4:B6"/>
    <mergeCell ref="C2:C3"/>
    <mergeCell ref="D2:D3"/>
    <mergeCell ref="G4:G6"/>
    <mergeCell ref="H3:H6"/>
  </mergeCells>
  <pageMargins left="0.7" right="0.7" top="0.75" bottom="0.75" header="0.3" footer="0.3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2:D23"/>
  <sheetViews>
    <sheetView workbookViewId="0">
      <selection activeCell="G19" sqref="G19"/>
    </sheetView>
  </sheetViews>
  <sheetFormatPr defaultColWidth="9" defaultRowHeight="13.5" outlineLevelCol="3"/>
  <cols>
    <col min="4" max="4" width="10.375"/>
  </cols>
  <sheetData>
    <row r="22" spans="4:4">
      <c r="D22">
        <f>40*400*'[1]202508'!$N$6</f>
        <v>10858.38</v>
      </c>
    </row>
    <row r="23" spans="4:4">
      <c r="D23">
        <f>40*400*'[1]202507'!$N$6</f>
        <v>10817.788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9" sqref="G19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202507</vt:lpstr>
      <vt:lpstr>202508</vt:lpstr>
      <vt:lpstr>202509</vt:lpstr>
      <vt:lpstr>202510</vt:lpstr>
      <vt:lpstr>202511</vt:lpstr>
      <vt:lpstr>202512</vt:lpstr>
      <vt:lpstr>202601</vt:lpstr>
      <vt:lpstr>202601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曹贤奎</dc:creator>
  <cp:lastModifiedBy>曹贤奎</cp:lastModifiedBy>
  <dcterms:created xsi:type="dcterms:W3CDTF">2023-05-12T11:15:00Z</dcterms:created>
  <dcterms:modified xsi:type="dcterms:W3CDTF">2026-03-06T10:45:30Z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0D4018E0727E413BACA159858D1B71D9_13</vt:lpwstr>
  </property>
  <property fmtid="{D5CDD505-2E9C-101B-9397-08002B2CF9AE}" pid="4" name="CalculationRule">
    <vt:i4>0</vt:i4>
  </property>
</Properties>
</file>