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00" windowHeight="5145" firstSheet="8"/>
  </bookViews>
  <sheets>
    <sheet name="202601" sheetId="74" r:id="rId1"/>
    <sheet name="每月汇总" sheetId="75" r:id="rId2"/>
  </sheets>
  <definedNames>
    <definedName name="_xlnm.Print_Area" localSheetId="1">每月汇总!$A$1:$J$3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<sst xmlns="http://schemas.openxmlformats.org/spreadsheetml/2006/main" count="53" uniqueCount="46">
  <si>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智荟先进制造产业园光伏项目发电统计表（2026年1月）</t>
  </si>
  <si>
    <t>正向数据</t>
  </si>
  <si>
    <t>反向数据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</si>
  <si>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</si>
  <si>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供电局上网</t>
  </si>
  <si>
    <t>尖峰</t>
  </si>
  <si>
    <t>峰</t>
  </si>
  <si>
    <t>平</t>
  </si>
  <si>
    <t>谷</t>
  </si>
  <si>
    <t>类别</t>
  </si>
  <si>
    <t>上月表数</t>
  </si>
  <si>
    <t>本月表数</t>
  </si>
  <si>
    <t>电表用理</t>
  </si>
  <si>
    <t>倍率</t>
  </si>
  <si>
    <t>用电量</t>
  </si>
  <si>
    <t>实际用电数</t>
  </si>
  <si>
    <t>电价</t>
  </si>
  <si>
    <t>金额</t>
  </si>
  <si>
    <t>上网电价</t>
  </si>
  <si>
    <t>上网金额</t>
  </si>
  <si>
    <r>
      <rPr>
        <sz val="11"/>
        <color theme="1"/>
        <rFont val="宋体"/>
        <charset val="134"/>
      </rPr>
      <t>用户号</t>
    </r>
    <r>
      <rPr>
        <sz val="11"/>
        <color theme="1"/>
        <rFont val="Tahoma"/>
        <charset val="134"/>
      </rPr>
      <t>0946000082501856</t>
    </r>
  </si>
  <si>
    <t>电量电费</t>
  </si>
  <si>
    <t>正有功尖峰</t>
  </si>
  <si>
    <t>发电表0946070038961957</t>
  </si>
  <si>
    <t>输配电费</t>
  </si>
  <si>
    <t>正有功峰</t>
  </si>
  <si>
    <r>
      <rPr>
        <sz val="11"/>
        <color theme="1"/>
        <rFont val="宋体"/>
        <charset val="134"/>
      </rPr>
      <t>发电表资产编号</t>
    </r>
    <r>
      <rPr>
        <sz val="11"/>
        <color theme="1"/>
        <rFont val="Tahoma"/>
        <charset val="134"/>
      </rPr>
      <t>09001SF00000042207349302</t>
    </r>
  </si>
  <si>
    <t>系统运行费用</t>
  </si>
  <si>
    <t>正有功平</t>
  </si>
  <si>
    <r>
      <rPr>
        <sz val="11"/>
        <color theme="1"/>
        <rFont val="宋体"/>
        <charset val="134"/>
      </rPr>
      <t>上网表号</t>
    </r>
    <r>
      <rPr>
        <sz val="11"/>
        <color theme="1"/>
        <rFont val="Tahoma"/>
        <charset val="134"/>
      </rPr>
      <t>0946070038924024</t>
    </r>
  </si>
  <si>
    <t>基金及附加费单价</t>
  </si>
  <si>
    <t>正有功谷</t>
  </si>
  <si>
    <r>
      <rPr>
        <sz val="11"/>
        <color theme="1"/>
        <rFont val="宋体"/>
        <charset val="134"/>
      </rPr>
      <t>上网表资产号</t>
    </r>
    <r>
      <rPr>
        <sz val="11"/>
        <color theme="1"/>
        <rFont val="Tahoma"/>
        <charset val="134"/>
      </rPr>
      <t>09001SG00000061804340887</t>
    </r>
  </si>
  <si>
    <t>正有功总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</si>
  <si>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</si>
  <si>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</si>
  <si>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</si>
  <si>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2026年1月智荟先进制造产业园光伏项目发电统计表</t>
  </si>
  <si>
    <t>用户号</t>
  </si>
  <si>
    <t>发电表号</t>
  </si>
  <si>
    <t>发电表资产编号</t>
  </si>
  <si>
    <t>上网表号</t>
  </si>
  <si>
    <t>上网表资产号</t>
  </si>
  <si>
    <t>发电量</t>
  </si>
  <si>
    <t>上网电量</t>
  </si>
  <si>
    <t>上网费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</si>
</sst>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  <numFmt numFmtId="178" formatCode="0.000000_ "/>
    <numFmt numFmtId="179" formatCode="0.0000_ "/>
  </numFmts>
  <fonts count="46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6" borderId="11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35" fillId="6" borderId="10" applyNumberFormat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34" fillId="6" borderId="11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35" fillId="6" borderId="10" applyNumberFormat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41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42" fillId="7" borderId="12" applyNumberFormat="0" applyAlignment="0" applyProtection="0">
      <alignment vertical="center"/>
    </xf>
    <xf numFmtId="0" fontId="42" fillId="7" borderId="12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5" fillId="5" borderId="10" applyNumberFormat="0" applyAlignment="0" applyProtection="0">
      <alignment vertical="center"/>
    </xf>
    <xf numFmtId="0" fontId="45" fillId="5" borderId="10" applyNumberFormat="0" applyAlignment="0" applyProtection="0">
      <alignment vertical="center"/>
    </xf>
    <xf numFmtId="0" fontId="14" fillId="4" borderId="7" applyNumberFormat="0" applyFont="0" applyAlignment="0" applyProtection="0">
      <alignment vertical="center"/>
    </xf>
    <xf numFmtId="0" fontId="14" fillId="4" borderId="7" applyNumberFormat="0" applyFont="0" applyAlignment="0" applyProtection="0">
      <alignment vertical="center"/>
    </xf>
  </cellStyleXfs>
  <cellXfs count="55">
    <xf numFmtId="0" fontId="0" fillId="0" borderId="0" xfId="0"/>
    <xf numFmtId="0" fontId="0" fillId="0" borderId="0" xfId="0" applyFill="1"/>
    <xf numFmtId="0" fontId="1" fillId="0" borderId="0" xfId="0" applyFont="1" applyFill="1"/>
    <xf numFmtId="176" fontId="1" fillId="0" borderId="0" xfId="0" applyNumberFormat="1" applyFont="1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178" fontId="0" fillId="0" borderId="2" xfId="0" applyNumberFormat="1" applyBorder="1" applyAlignment="1">
      <alignment horizontal="center" vertical="center" wrapText="1"/>
    </xf>
    <xf numFmtId="0" fontId="13" fillId="3" borderId="6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  <xf numFmtId="179" fontId="0" fillId="0" borderId="2" xfId="0" applyNumberForma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Font="1"/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tabSelected="1" view="pageBreakPreview" zoomScale="82" zoomScaleNormal="85" topLeftCell="D1" workbookViewId="0">
      <selection activeCell="S8" sqref="S8"/>
    </sheetView>
  </sheetViews>
  <sheetFormatPr defaultColWidth="15.6" defaultRowHeight="27.75" customHeight="1"/>
  <cols>
    <col min="1" max="1" width="5" customWidth="1"/>
    <col min="2" max="3" width="9.99166666666667" style="20" customWidth="1"/>
    <col min="4" max="4" width="11.125" style="20" customWidth="1"/>
    <col min="5" max="5" width="7.49166666666667" style="20" customWidth="1"/>
    <col min="6" max="6" width="10.1416666666667" style="20" customWidth="1"/>
    <col min="7" max="9" width="6.875" style="20" customWidth="1"/>
    <col min="10" max="10" width="7.93333333333333" customWidth="1"/>
    <col min="11" max="11" width="11" customWidth="1"/>
    <col min="12" max="12" width="12.125" customWidth="1"/>
    <col min="13" max="13" width="12.9583333333333" style="20" customWidth="1"/>
    <col min="14" max="14" width="12.125" customWidth="1"/>
    <col min="15" max="15" width="9.40833333333333" customWidth="1"/>
    <col min="16" max="16" width="8.375" customWidth="1"/>
    <col min="17" max="17" width="41.3083333333333" customWidth="1"/>
    <col min="18" max="22" width="11.925" customWidth="1"/>
  </cols>
  <sheetData>
    <row r="1" ht="24" customHeight="1" spans="1:2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ht="30" customHeight="1" spans="1:22">
      <c r="A2" s="22" t="s">
        <v>1</v>
      </c>
      <c r="B2" s="22"/>
      <c r="C2" s="22"/>
      <c r="D2" s="22"/>
      <c r="E2" s="22"/>
      <c r="F2" s="22"/>
      <c r="G2" s="23" t="s">
        <v>2</v>
      </c>
      <c r="H2" s="24"/>
      <c r="I2" s="24"/>
      <c r="J2" s="25"/>
      <c r="K2" s="26"/>
      <c r="L2" s="27" t="s">
        <v>3</v>
      </c>
      <c r="M2" s="28"/>
      <c r="N2" s="29"/>
      <c r="O2" s="30" t="s">
        <v>4</v>
      </c>
      <c r="P2" s="31"/>
      <c r="R2" s="32"/>
      <c r="S2" s="33" t="s">
        <v>5</v>
      </c>
      <c r="T2" s="33" t="s">
        <v>6</v>
      </c>
      <c r="U2" s="33" t="s">
        <v>7</v>
      </c>
      <c r="V2" s="33" t="s">
        <v>8</v>
      </c>
    </row>
    <row r="3" ht="62" customHeight="1" spans="1:22">
      <c r="A3" s="34" t="s">
        <v>9</v>
      </c>
      <c r="B3" s="35" t="s">
        <v>10</v>
      </c>
      <c r="C3" s="35" t="s">
        <v>11</v>
      </c>
      <c r="D3" s="35" t="s">
        <v>12</v>
      </c>
      <c r="E3" s="35" t="s">
        <v>13</v>
      </c>
      <c r="F3" s="35" t="s">
        <v>14</v>
      </c>
      <c r="G3" s="35" t="s">
        <v>10</v>
      </c>
      <c r="H3" s="35" t="s">
        <v>11</v>
      </c>
      <c r="I3" s="35" t="s">
        <v>12</v>
      </c>
      <c r="J3" s="34" t="s">
        <v>13</v>
      </c>
      <c r="K3" s="34" t="s">
        <v>14</v>
      </c>
      <c r="L3" s="36" t="s">
        <v>15</v>
      </c>
      <c r="M3" s="37" t="s">
        <v>16</v>
      </c>
      <c r="N3" s="34" t="s">
        <v>17</v>
      </c>
      <c r="O3" s="38" t="s">
        <v>18</v>
      </c>
      <c r="P3" s="38" t="s">
        <v>19</v>
      </c>
      <c r="Q3" s="39" t="s">
        <v>20</v>
      </c>
      <c r="R3" s="33" t="s">
        <v>21</v>
      </c>
      <c r="S3" s="40"/>
      <c r="T3" s="40">
        <v>0.633694</v>
      </c>
      <c r="U3" s="40">
        <v>0.414179</v>
      </c>
      <c r="V3" s="40">
        <v>0.132537</v>
      </c>
    </row>
    <row r="4" ht="62" customHeight="1" spans="1:22">
      <c r="A4" s="35" t="s">
        <v>22</v>
      </c>
      <c r="B4" s="41">
        <v>657.21</v>
      </c>
      <c r="C4" s="41">
        <v>717.44</v>
      </c>
      <c r="D4" s="42">
        <f t="shared" ref="D4:D8" si="0">C4-B4</f>
        <v>60.23</v>
      </c>
      <c r="E4" s="42">
        <v>400</v>
      </c>
      <c r="F4" s="42">
        <f t="shared" ref="F4:F8" si="1">D4*E4</f>
        <v>24092</v>
      </c>
      <c r="G4" s="41">
        <v>6.4</v>
      </c>
      <c r="H4" s="41">
        <v>7.21</v>
      </c>
      <c r="I4" s="42">
        <f t="shared" ref="I4:I8" si="2">H4-G4</f>
        <v>0.81</v>
      </c>
      <c r="J4" s="42">
        <v>1500</v>
      </c>
      <c r="K4" s="43">
        <f t="shared" ref="K4:K8" si="3">I4*J4</f>
        <v>1215</v>
      </c>
      <c r="L4" s="43">
        <f t="shared" ref="L4:L8" si="4">F4-K4</f>
        <v>22877</v>
      </c>
      <c r="M4" s="28">
        <v>1.04656275</v>
      </c>
      <c r="N4" s="43">
        <f t="shared" ref="N4:N7" si="5">L4*M4</f>
        <v>23942.21603175</v>
      </c>
      <c r="O4" s="44">
        <v>0.404517</v>
      </c>
      <c r="P4" s="44">
        <f t="shared" ref="P4:P8" si="6">O4*K4</f>
        <v>491.488155</v>
      </c>
      <c r="Q4" s="39" t="s">
        <v>23</v>
      </c>
      <c r="R4" s="33" t="s">
        <v>24</v>
      </c>
      <c r="S4" s="45"/>
      <c r="T4" s="45">
        <v>0.2786</v>
      </c>
      <c r="U4" s="45">
        <v>0.1804</v>
      </c>
      <c r="V4" s="45">
        <v>0.0567</v>
      </c>
    </row>
    <row r="5" ht="62" customHeight="1" spans="1:22">
      <c r="A5" s="35" t="s">
        <v>25</v>
      </c>
      <c r="B5" s="41">
        <v>626.48</v>
      </c>
      <c r="C5" s="41">
        <v>682.36</v>
      </c>
      <c r="D5" s="42">
        <f t="shared" si="0"/>
        <v>55.88</v>
      </c>
      <c r="E5" s="42">
        <v>400</v>
      </c>
      <c r="F5" s="42">
        <f t="shared" si="1"/>
        <v>22352</v>
      </c>
      <c r="G5" s="41">
        <v>5.7</v>
      </c>
      <c r="H5" s="41">
        <v>6.28</v>
      </c>
      <c r="I5" s="42">
        <f t="shared" si="2"/>
        <v>0.58</v>
      </c>
      <c r="J5" s="42">
        <v>1500</v>
      </c>
      <c r="K5" s="43">
        <f t="shared" si="3"/>
        <v>870</v>
      </c>
      <c r="L5" s="43">
        <f t="shared" si="4"/>
        <v>21482</v>
      </c>
      <c r="M5" s="28">
        <v>1.04656275</v>
      </c>
      <c r="N5" s="43">
        <f t="shared" si="5"/>
        <v>22482.2609955</v>
      </c>
      <c r="O5" s="44">
        <v>0.404517</v>
      </c>
      <c r="P5" s="44">
        <f t="shared" si="6"/>
        <v>351.92979</v>
      </c>
      <c r="Q5" s="39" t="s">
        <v>26</v>
      </c>
      <c r="R5" s="33" t="s">
        <v>27</v>
      </c>
      <c r="S5" s="45"/>
      <c r="T5" s="45">
        <v>0.1066</v>
      </c>
      <c r="U5" s="45">
        <v>0.069</v>
      </c>
      <c r="V5" s="45">
        <v>0.0217</v>
      </c>
    </row>
    <row r="6" ht="62" customHeight="1" spans="1:22">
      <c r="A6" s="35" t="s">
        <v>28</v>
      </c>
      <c r="B6" s="41">
        <v>1046.07</v>
      </c>
      <c r="C6" s="41">
        <v>1137.93</v>
      </c>
      <c r="D6" s="42">
        <f t="shared" si="0"/>
        <v>91.8600000000001</v>
      </c>
      <c r="E6" s="42">
        <v>400</v>
      </c>
      <c r="F6" s="42">
        <f t="shared" si="1"/>
        <v>36744.0000000001</v>
      </c>
      <c r="G6" s="41">
        <v>15.77</v>
      </c>
      <c r="H6" s="41">
        <v>18.51</v>
      </c>
      <c r="I6" s="42">
        <f t="shared" si="2"/>
        <v>2.74</v>
      </c>
      <c r="J6" s="42">
        <v>1500</v>
      </c>
      <c r="K6" s="43">
        <f t="shared" si="3"/>
        <v>4110</v>
      </c>
      <c r="L6" s="43">
        <f t="shared" si="4"/>
        <v>32634</v>
      </c>
      <c r="M6" s="28">
        <v>0.69124775</v>
      </c>
      <c r="N6" s="43">
        <f t="shared" si="5"/>
        <v>22558.1790735</v>
      </c>
      <c r="O6" s="44">
        <v>0.404517</v>
      </c>
      <c r="P6" s="44">
        <f t="shared" si="6"/>
        <v>1662.56487</v>
      </c>
      <c r="Q6" s="39" t="s">
        <v>29</v>
      </c>
      <c r="R6" s="33" t="s">
        <v>30</v>
      </c>
      <c r="S6" s="46"/>
      <c r="T6" s="46">
        <v>0.02766875</v>
      </c>
      <c r="U6" s="46">
        <v>0.02766875</v>
      </c>
      <c r="V6" s="46">
        <v>0.02766875</v>
      </c>
    </row>
    <row r="7" ht="62" customHeight="1" spans="1:22">
      <c r="A7" s="35" t="s">
        <v>31</v>
      </c>
      <c r="B7" s="41">
        <v>89.63</v>
      </c>
      <c r="C7" s="41">
        <v>91.12</v>
      </c>
      <c r="D7" s="42">
        <f t="shared" si="0"/>
        <v>1.49000000000001</v>
      </c>
      <c r="E7" s="42">
        <v>400</v>
      </c>
      <c r="F7" s="42">
        <f t="shared" si="1"/>
        <v>596.000000000004</v>
      </c>
      <c r="G7" s="41">
        <v>0.03</v>
      </c>
      <c r="H7" s="41">
        <v>0.03</v>
      </c>
      <c r="I7" s="42">
        <f t="shared" si="2"/>
        <v>0</v>
      </c>
      <c r="J7" s="42">
        <v>1500</v>
      </c>
      <c r="K7" s="43">
        <f t="shared" si="3"/>
        <v>0</v>
      </c>
      <c r="L7" s="43">
        <f t="shared" si="4"/>
        <v>596.000000000004</v>
      </c>
      <c r="M7" s="28">
        <v>0.23860575</v>
      </c>
      <c r="N7" s="43">
        <f t="shared" si="5"/>
        <v>142.209027000001</v>
      </c>
      <c r="O7" s="44">
        <v>0.404517</v>
      </c>
      <c r="P7" s="44">
        <f t="shared" si="6"/>
        <v>0</v>
      </c>
      <c r="Q7" s="39" t="s">
        <v>32</v>
      </c>
      <c r="R7" s="47"/>
      <c r="S7" s="46">
        <f t="shared" ref="S7:V7" si="7">SUM(S3:S6)</f>
        <v>0</v>
      </c>
      <c r="T7" s="46">
        <f t="shared" si="7"/>
        <v>1.04656275</v>
      </c>
      <c r="U7" s="46">
        <f t="shared" si="7"/>
        <v>0.69124775</v>
      </c>
      <c r="V7" s="46">
        <f t="shared" si="7"/>
        <v>0.23860575</v>
      </c>
    </row>
    <row r="8" ht="62" customHeight="1" spans="1:22">
      <c r="A8" s="35" t="s">
        <v>33</v>
      </c>
      <c r="B8" s="41">
        <v>2419.41</v>
      </c>
      <c r="C8" s="41">
        <v>2628.87</v>
      </c>
      <c r="D8" s="42">
        <f t="shared" si="0"/>
        <v>209.46</v>
      </c>
      <c r="E8" s="42">
        <v>400</v>
      </c>
      <c r="F8" s="42">
        <f t="shared" si="1"/>
        <v>83784</v>
      </c>
      <c r="G8" s="41">
        <v>27.92</v>
      </c>
      <c r="H8" s="41">
        <v>32.05</v>
      </c>
      <c r="I8" s="42">
        <f t="shared" si="2"/>
        <v>4.13</v>
      </c>
      <c r="J8" s="42">
        <v>1500</v>
      </c>
      <c r="K8" s="43">
        <f t="shared" si="3"/>
        <v>6194.99999999999</v>
      </c>
      <c r="L8" s="43">
        <f t="shared" si="4"/>
        <v>77589</v>
      </c>
      <c r="M8" s="48"/>
      <c r="N8" s="43">
        <f>SUM(N4:N7)</f>
        <v>69124.86512775</v>
      </c>
      <c r="O8" s="44"/>
      <c r="P8" s="44">
        <f>SUM(P4:P7)</f>
        <v>2505.982815</v>
      </c>
      <c r="Q8" s="49"/>
    </row>
    <row r="9" ht="37" customHeight="1" spans="1:22">
      <c r="A9" s="50" t="s">
        <v>34</v>
      </c>
      <c r="B9" s="51"/>
      <c r="C9" s="51"/>
      <c r="D9" s="51"/>
      <c r="E9" s="51"/>
      <c r="M9" s="52" t="s">
        <v>35</v>
      </c>
      <c r="N9" s="53" t="s">
        <v>36</v>
      </c>
    </row>
    <row r="13" customHeight="1" spans="1:22">
      <c r="J13" s="54"/>
    </row>
    <row r="14" customHeight="1" spans="1:22">
      <c r="J14" s="54"/>
    </row>
  </sheetData>
  <mergeCells count="6">
    <mergeCell ref="A1:P1"/>
    <mergeCell ref="A2:F2"/>
    <mergeCell ref="G2:K2"/>
    <mergeCell ref="L2:N2"/>
    <mergeCell ref="O2:P2"/>
    <mergeCell ref="A9:E9"/>
  </mergeCells>
  <pageMargins left="0.314583333333333" right="0.145138888888889" top="0.724305555555556" bottom="0.747916666666667" header="0.314583333333333" footer="0.314583333333333"/>
  <pageSetup paperSize="9" scale="90" orientation="landscape" horizontalDpi="600"/>
  <headerFooter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view="pageBreakPreview" zoomScale="55" zoomScaleNormal="85" workbookViewId="0">
      <selection activeCell="H9" sqref="H9"/>
    </sheetView>
  </sheetViews>
  <sheetFormatPr defaultColWidth="15.6" defaultRowHeight="27.75" customHeight="1"/>
  <cols>
    <col min="1" max="1" width="24.6333333333333" style="1" customWidth="1"/>
    <col min="2" max="2" width="24.8166666666667" style="1" customWidth="1"/>
    <col min="3" max="3" width="37.3166666666667" style="2" customWidth="1"/>
    <col min="4" max="4" width="25.8833333333333" style="1" customWidth="1"/>
    <col min="5" max="5" width="36.2416666666667" style="2" customWidth="1"/>
    <col min="6" max="6" width="15.7083333333333" style="2" customWidth="1"/>
    <col min="7" max="7" width="13.3833333333333" style="2" customWidth="1"/>
    <col min="8" max="8" width="15.175" style="2" customWidth="1"/>
    <col min="9" max="9" width="19.6416666666667" style="3" customWidth="1"/>
    <col min="10" max="10" width="14.45" style="2" customWidth="1"/>
    <col min="11" max="11" width="7.93333333333333" style="2" customWidth="1"/>
    <col min="12" max="12" width="9.40833333333333" style="1" customWidth="1"/>
    <col min="13" max="13" width="9.55833333333333" style="1" customWidth="1"/>
    <col min="14" max="14" width="11.25" style="4" customWidth="1"/>
    <col min="15" max="15" width="11.0583333333333" style="2" customWidth="1"/>
    <col min="16" max="16" width="12.1416666666667" style="1" customWidth="1"/>
    <col min="17" max="17" width="13.75" style="1" customWidth="1"/>
    <col min="18" max="16384" width="15.6" style="1"/>
  </cols>
  <sheetData>
    <row r="1" ht="57" customHeight="1" spans="1:17">
      <c r="A1" s="5" t="s">
        <v>37</v>
      </c>
      <c r="B1" s="5"/>
      <c r="C1" s="5"/>
      <c r="D1" s="5"/>
      <c r="E1" s="5"/>
      <c r="F1" s="5"/>
      <c r="G1" s="5"/>
      <c r="H1" s="5"/>
      <c r="I1" s="6"/>
      <c r="J1" s="5"/>
      <c r="K1" s="7"/>
      <c r="L1" s="7"/>
      <c r="M1" s="7"/>
      <c r="N1" s="7"/>
      <c r="O1" s="7"/>
      <c r="P1" s="7"/>
      <c r="Q1" s="7"/>
    </row>
    <row r="2" customHeight="1" spans="1:17">
      <c r="A2" s="8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9" t="s">
        <v>43</v>
      </c>
      <c r="G2" s="9" t="s">
        <v>44</v>
      </c>
      <c r="H2" s="9" t="s">
        <v>15</v>
      </c>
      <c r="I2" s="10" t="s">
        <v>17</v>
      </c>
      <c r="J2" s="11" t="s">
        <v>45</v>
      </c>
    </row>
    <row r="3" ht="76" customHeight="1" spans="1:17">
      <c r="A3" s="12" t="str">
        <f>'202601'!Q3</f>
        <v>用户号0946000082501856</v>
      </c>
      <c r="B3" s="12" t="str">
        <f>'202601'!Q4</f>
        <v>发电表0946070038961957</v>
      </c>
      <c r="C3" s="13" t="str">
        <f>'202601'!Q5</f>
        <v>发电表资产编号09001SF00000042207349302</v>
      </c>
      <c r="D3" s="12" t="str">
        <f>'202601'!Q6</f>
        <v>上网表号0946070038924024</v>
      </c>
      <c r="E3" s="13" t="str">
        <f>'202601'!Q7</f>
        <v>上网表资产号09001SG00000061804340887</v>
      </c>
      <c r="F3" s="14">
        <f>'202601'!F8</f>
        <v>83784</v>
      </c>
      <c r="G3" s="14">
        <f>'202601'!K8</f>
        <v>6194.99999999999</v>
      </c>
      <c r="H3" s="14">
        <f>'202601'!L8</f>
        <v>77589</v>
      </c>
      <c r="I3" s="15">
        <f>'202601'!N8</f>
        <v>69124.86512775</v>
      </c>
      <c r="J3" s="14"/>
    </row>
    <row r="4" customHeight="1" spans="1:17">
      <c r="A4" s="16"/>
      <c r="B4" s="16"/>
      <c r="C4" s="17"/>
      <c r="D4" s="16"/>
      <c r="E4" s="17"/>
      <c r="F4" s="17"/>
      <c r="G4" s="17"/>
      <c r="H4" s="17"/>
      <c r="I4" s="18"/>
      <c r="J4" s="17"/>
      <c r="K4" s="17"/>
      <c r="L4" s="16"/>
      <c r="M4" s="16"/>
      <c r="N4" s="19"/>
      <c r="O4" s="17"/>
      <c r="P4" s="16"/>
    </row>
    <row r="5" customHeight="1" spans="1:17">
      <c r="A5" s="16"/>
      <c r="B5" s="16"/>
      <c r="C5" s="17"/>
      <c r="D5" s="16"/>
      <c r="E5" s="17"/>
      <c r="F5" s="17"/>
      <c r="G5" s="17"/>
      <c r="H5" s="17"/>
      <c r="I5" s="18"/>
      <c r="J5" s="17"/>
      <c r="K5" s="17"/>
      <c r="L5" s="16"/>
      <c r="M5" s="16"/>
      <c r="N5" s="19"/>
      <c r="O5" s="17"/>
      <c r="P5" s="16"/>
    </row>
    <row r="6" customHeight="1" spans="1:17">
      <c r="A6" s="16"/>
      <c r="B6" s="16"/>
      <c r="C6" s="17"/>
      <c r="D6" s="16"/>
      <c r="E6" s="17"/>
      <c r="F6" s="17"/>
      <c r="G6" s="17"/>
      <c r="H6" s="17"/>
      <c r="I6" s="18"/>
      <c r="J6" s="17"/>
      <c r="K6" s="17"/>
      <c r="L6" s="16"/>
      <c r="M6" s="16"/>
      <c r="N6" s="19"/>
      <c r="O6" s="17"/>
      <c r="P6" s="16"/>
    </row>
    <row r="7" customHeight="1" spans="1:17">
      <c r="A7" s="16"/>
      <c r="B7" s="16"/>
      <c r="C7" s="17"/>
      <c r="D7" s="16"/>
      <c r="E7" s="17"/>
      <c r="F7" s="17"/>
      <c r="G7" s="17"/>
      <c r="H7" s="17"/>
      <c r="I7" s="18"/>
      <c r="J7" s="17"/>
      <c r="K7" s="17"/>
      <c r="L7" s="16"/>
      <c r="M7" s="16"/>
      <c r="N7" s="19"/>
      <c r="O7" s="17"/>
      <c r="P7" s="16"/>
    </row>
    <row r="8" customHeight="1" spans="1:17">
      <c r="A8" s="16"/>
      <c r="B8" s="16"/>
      <c r="C8" s="17"/>
      <c r="D8" s="16"/>
      <c r="E8" s="17"/>
      <c r="F8" s="17"/>
      <c r="G8" s="17"/>
      <c r="H8" s="17"/>
      <c r="I8" s="18"/>
      <c r="J8" s="17"/>
      <c r="K8" s="17"/>
      <c r="L8" s="16"/>
      <c r="M8" s="16"/>
      <c r="N8" s="19"/>
      <c r="O8" s="17"/>
      <c r="P8" s="16"/>
    </row>
    <row r="9" customHeight="1" spans="1:17">
      <c r="A9" s="16"/>
      <c r="B9" s="16"/>
      <c r="C9" s="17"/>
      <c r="D9" s="16"/>
      <c r="E9" s="17"/>
      <c r="F9" s="17"/>
      <c r="G9" s="17"/>
      <c r="H9" s="17"/>
      <c r="I9" s="18"/>
      <c r="J9" s="17"/>
      <c r="K9" s="17"/>
      <c r="L9" s="16"/>
      <c r="M9" s="16"/>
      <c r="N9" s="19"/>
      <c r="O9" s="17"/>
      <c r="P9" s="16"/>
    </row>
    <row r="10" customHeight="1" spans="1:17">
      <c r="A10" s="16"/>
      <c r="B10" s="16"/>
      <c r="C10" s="17"/>
      <c r="D10" s="16"/>
      <c r="E10" s="17"/>
      <c r="F10" s="17"/>
      <c r="G10" s="17"/>
      <c r="H10" s="17"/>
      <c r="I10" s="18"/>
      <c r="J10" s="17"/>
      <c r="K10" s="17"/>
      <c r="L10" s="16"/>
      <c r="M10" s="16"/>
      <c r="N10" s="19"/>
      <c r="O10" s="17"/>
      <c r="P10" s="16"/>
    </row>
    <row r="11" customHeight="1" spans="1:17">
      <c r="A11" s="16"/>
      <c r="B11" s="16"/>
      <c r="C11" s="17"/>
      <c r="D11" s="16"/>
      <c r="E11" s="17"/>
      <c r="F11" s="17"/>
      <c r="G11" s="17"/>
      <c r="H11" s="17"/>
      <c r="I11" s="18"/>
      <c r="J11" s="17"/>
      <c r="K11" s="17"/>
      <c r="L11" s="16"/>
      <c r="M11" s="16"/>
      <c r="N11" s="19"/>
      <c r="O11" s="17"/>
      <c r="P11" s="16"/>
    </row>
    <row r="12" customHeight="1" spans="1:17">
      <c r="A12" s="16"/>
      <c r="B12" s="16"/>
      <c r="C12" s="17"/>
      <c r="D12" s="16"/>
      <c r="E12" s="17"/>
      <c r="F12" s="17"/>
      <c r="G12" s="17"/>
      <c r="H12" s="17"/>
      <c r="I12" s="18"/>
      <c r="J12" s="17"/>
      <c r="K12" s="17"/>
      <c r="L12" s="16"/>
      <c r="M12" s="16"/>
      <c r="N12" s="19"/>
      <c r="O12" s="17"/>
      <c r="P12" s="16"/>
    </row>
    <row r="13" customHeight="1" spans="1:17">
      <c r="A13" s="16"/>
      <c r="B13" s="16"/>
      <c r="C13" s="17"/>
      <c r="D13" s="16"/>
      <c r="E13" s="17"/>
      <c r="F13" s="17"/>
      <c r="G13" s="17"/>
      <c r="H13" s="17"/>
      <c r="I13" s="18"/>
      <c r="J13" s="17"/>
      <c r="K13" s="17"/>
      <c r="L13" s="16"/>
      <c r="M13" s="16"/>
      <c r="N13" s="19"/>
      <c r="O13" s="17"/>
      <c r="P13" s="16"/>
    </row>
    <row r="14" customHeight="1" spans="1:17">
      <c r="A14" s="16"/>
      <c r="B14" s="16"/>
      <c r="C14" s="17"/>
      <c r="D14" s="16"/>
      <c r="E14" s="17"/>
      <c r="F14" s="17"/>
      <c r="G14" s="17"/>
      <c r="H14" s="17"/>
      <c r="I14" s="18"/>
      <c r="J14" s="17"/>
      <c r="K14" s="17"/>
      <c r="L14" s="16"/>
      <c r="M14" s="16"/>
      <c r="N14" s="19"/>
      <c r="O14" s="17"/>
      <c r="P14" s="16"/>
    </row>
  </sheetData>
  <mergeCells count="1">
    <mergeCell ref="A1:J1"/>
  </mergeCells>
  <pageMargins left="0.314583333333333" right="0.145138888888889" top="0.724305555555556" bottom="0.747916666666667" header="0.314583333333333" footer="0.314583333333333"/>
  <pageSetup paperSize="9" scale="4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202601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2026-03-05T06:43:29Z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