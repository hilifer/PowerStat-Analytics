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65" windowHeight="9675"/>
  </bookViews>
  <sheets>
    <sheet name="202512" sheetId="6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<sst xmlns="http://schemas.openxmlformats.org/spreadsheetml/2006/main" count="64" uniqueCount="35">
  <si>
    <t>新丰工业园光伏项目发电统计表（2026年1月）</t>
  </si>
  <si>
    <t>正向数据（发电量）</t>
  </si>
  <si>
    <t>反向数据（上网电量）</t>
  </si>
  <si>
    <r>
      <rPr>
        <sz val="11"/>
        <color theme="1"/>
        <rFont val="宋体"/>
        <charset val="134"/>
      </rPr>
      <t>自发用电量/金额</t>
    </r>
    <r>
      <rPr>
        <sz val="11"/>
        <color theme="1"/>
        <rFont val="Tahoma"/>
        <charset val="134"/>
      </rPr>
      <t xml:space="preserve"> </t>
    </r>
  </si>
  <si>
    <t>类别</t>
  </si>
  <si>
    <t>上月表数</t>
  </si>
  <si>
    <t>本月表数</t>
  </si>
  <si>
    <t>电表用理</t>
  </si>
  <si>
    <t>倍率</t>
  </si>
  <si>
    <t>发电量</t>
  </si>
  <si>
    <t>上网电量</t>
  </si>
  <si>
    <t>实际用电数</t>
  </si>
  <si>
    <t>电价</t>
  </si>
  <si>
    <t>金额</t>
  </si>
  <si>
    <t>正有功总</t>
  </si>
  <si>
    <t>用户号</t>
  </si>
  <si>
    <t>0946000080510140</t>
  </si>
  <si>
    <t>发电表号</t>
  </si>
  <si>
    <t>0946110039693280</t>
  </si>
  <si>
    <t>09001SF00000042207350145</t>
  </si>
  <si>
    <t>上网表号</t>
  </si>
  <si>
    <t>0946110039724247</t>
  </si>
  <si>
    <t>上网表资产号</t>
  </si>
  <si>
    <t>09001SG00000061704249263</t>
  </si>
  <si>
    <r>
      <rPr>
        <sz val="11"/>
        <color theme="1"/>
        <rFont val="宋体"/>
        <charset val="134"/>
      </rPr>
      <t>联系电话：</t>
    </r>
    <r>
      <rPr>
        <sz val="11"/>
        <color theme="1"/>
        <rFont val="Tahoma"/>
        <charset val="134"/>
      </rPr>
      <t>18938973683</t>
    </r>
  </si>
  <si>
    <t>制作：</t>
  </si>
  <si>
    <t>曹贤奎</t>
  </si>
  <si>
    <t>0946000080509517</t>
  </si>
  <si>
    <t>0946110039699419</t>
  </si>
  <si>
    <t>09001SF00000042207265554</t>
  </si>
  <si>
    <t>发电表</t>
  </si>
  <si>
    <t>0946110039760249</t>
  </si>
  <si>
    <t>发电表资产号</t>
  </si>
  <si>
    <t>09001SF00000042207350144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</si>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</sst>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  <numFmt numFmtId="177" formatCode="0.00_ "/>
    <numFmt numFmtId="178" formatCode="0.000_ "/>
  </numFmts>
  <fonts count="40">
    <font>
      <sz val="11"/>
      <color theme="1"/>
      <name val="Tahoma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Tahoma"/>
      <charset val="134"/>
    </font>
    <font>
      <sz val="11"/>
      <name val="微软雅黑"/>
      <charset val="134"/>
    </font>
    <font>
      <b/>
      <sz val="12"/>
      <color theme="1"/>
      <name val="Tahom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91454817346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"/>
      </bottom>
      <diagonal/>
    </border>
  </borders>
  <cellStyleXfs count="131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32" fillId="5" borderId="5" applyNumberFormat="0" applyAlignment="0" applyProtection="0">
      <alignment vertical="center"/>
    </xf>
    <xf numFmtId="0" fontId="32" fillId="5" borderId="5" applyNumberFormat="0" applyAlignment="0" applyProtection="0">
      <alignment vertical="center"/>
    </xf>
    <xf numFmtId="0" fontId="33" fillId="6" borderId="7" applyNumberFormat="0" applyAlignment="0" applyProtection="0">
      <alignment vertical="center"/>
    </xf>
    <xf numFmtId="0" fontId="33" fillId="6" borderId="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36" fillId="0" borderId="8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5" borderId="6" applyNumberFormat="0" applyAlignment="0" applyProtection="0">
      <alignment vertical="center"/>
    </xf>
    <xf numFmtId="0" fontId="38" fillId="5" borderId="6" applyNumberFormat="0" applyAlignment="0" applyProtection="0">
      <alignment vertical="center"/>
    </xf>
    <xf numFmtId="0" fontId="39" fillId="4" borderId="5" applyNumberFormat="0" applyAlignment="0" applyProtection="0">
      <alignment vertical="center"/>
    </xf>
    <xf numFmtId="0" fontId="39" fillId="4" borderId="5" applyNumberFormat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8" fillId="3" borderId="2" applyNumberFormat="0" applyFont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6" fillId="2" borderId="1" xfId="0" applyNumberFormat="1" applyFont="1" applyFill="1" applyBorder="1" applyAlignment="1" quotePrefix="1">
      <alignment horizontal="center" vertical="center" wrapText="1"/>
    </xf>
    <xf numFmtId="0" fontId="0" fillId="0" borderId="0" xfId="0" quotePrefix="1"/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3" xfId="50"/>
    <cellStyle name="20% - 强调文字颜色 2 2" xfId="51"/>
    <cellStyle name="20% - 强调文字颜色 2 3" xfId="52"/>
    <cellStyle name="20% - 强调文字颜色 3 2" xfId="53"/>
    <cellStyle name="20% - 强调文字颜色 3 3" xfId="54"/>
    <cellStyle name="20% - 强调文字颜色 4 2" xfId="55"/>
    <cellStyle name="20% - 强调文字颜色 4 3" xfId="56"/>
    <cellStyle name="20% - 强调文字颜色 5 2" xfId="57"/>
    <cellStyle name="20% - 强调文字颜色 5 3" xfId="58"/>
    <cellStyle name="20% - 强调文字颜色 6 2" xfId="59"/>
    <cellStyle name="20% - 强调文字颜色 6 3" xfId="60"/>
    <cellStyle name="40% - 强调文字颜色 1 2" xfId="61"/>
    <cellStyle name="40% - 强调文字颜色 1 3" xfId="62"/>
    <cellStyle name="40% - 强调文字颜色 2 2" xfId="63"/>
    <cellStyle name="40% - 强调文字颜色 2 3" xfId="64"/>
    <cellStyle name="40% - 强调文字颜色 3 2" xfId="65"/>
    <cellStyle name="40% - 强调文字颜色 3 3" xfId="66"/>
    <cellStyle name="40% - 强调文字颜色 4 2" xfId="67"/>
    <cellStyle name="40% - 强调文字颜色 4 3" xfId="68"/>
    <cellStyle name="40% - 强调文字颜色 5 2" xfId="69"/>
    <cellStyle name="40% - 强调文字颜色 5 3" xfId="70"/>
    <cellStyle name="40% - 强调文字颜色 6 2" xfId="71"/>
    <cellStyle name="40% - 强调文字颜色 6 3" xfId="72"/>
    <cellStyle name="60% - 强调文字颜色 1 2" xfId="73"/>
    <cellStyle name="60% - 强调文字颜色 1 3" xfId="74"/>
    <cellStyle name="60% - 强调文字颜色 2 2" xfId="75"/>
    <cellStyle name="60% - 强调文字颜色 2 3" xfId="76"/>
    <cellStyle name="60% - 强调文字颜色 3 2" xfId="77"/>
    <cellStyle name="60% - 强调文字颜色 3 3" xfId="78"/>
    <cellStyle name="60% - 强调文字颜色 4 2" xfId="79"/>
    <cellStyle name="60% - 强调文字颜色 4 3" xfId="80"/>
    <cellStyle name="60% - 强调文字颜色 5 2" xfId="81"/>
    <cellStyle name="60% - 强调文字颜色 5 3" xfId="82"/>
    <cellStyle name="60% - 强调文字颜色 6 2" xfId="83"/>
    <cellStyle name="60% - 强调文字颜色 6 3" xfId="84"/>
    <cellStyle name="标题 1 2" xfId="85"/>
    <cellStyle name="标题 1 3" xfId="86"/>
    <cellStyle name="标题 2 2" xfId="87"/>
    <cellStyle name="标题 2 3" xfId="88"/>
    <cellStyle name="标题 3 2" xfId="89"/>
    <cellStyle name="标题 3 3" xfId="90"/>
    <cellStyle name="标题 4 2" xfId="91"/>
    <cellStyle name="标题 4 3" xfId="92"/>
    <cellStyle name="差 2" xfId="93"/>
    <cellStyle name="差 3" xfId="94"/>
    <cellStyle name="常规 3" xfId="95"/>
    <cellStyle name="好 2" xfId="96"/>
    <cellStyle name="好 3" xfId="97"/>
    <cellStyle name="汇总 2" xfId="98"/>
    <cellStyle name="汇总 3" xfId="99"/>
    <cellStyle name="货币 3" xfId="100"/>
    <cellStyle name="计算 2" xfId="101"/>
    <cellStyle name="计算 3" xfId="102"/>
    <cellStyle name="检查单元格 2" xfId="103"/>
    <cellStyle name="检查单元格 3" xfId="104"/>
    <cellStyle name="解释性文本 2" xfId="105"/>
    <cellStyle name="解释性文本 3" xfId="106"/>
    <cellStyle name="警告文本 2" xfId="107"/>
    <cellStyle name="警告文本 3" xfId="108"/>
    <cellStyle name="链接单元格 2" xfId="109"/>
    <cellStyle name="链接单元格 3" xfId="110"/>
    <cellStyle name="强调文字颜色 1 2" xfId="111"/>
    <cellStyle name="强调文字颜色 1 3" xfId="112"/>
    <cellStyle name="强调文字颜色 2 2" xfId="113"/>
    <cellStyle name="强调文字颜色 2 3" xfId="114"/>
    <cellStyle name="强调文字颜色 3 2" xfId="115"/>
    <cellStyle name="强调文字颜色 3 3" xfId="116"/>
    <cellStyle name="强调文字颜色 4 2" xfId="117"/>
    <cellStyle name="强调文字颜色 4 3" xfId="118"/>
    <cellStyle name="强调文字颜色 5 2" xfId="119"/>
    <cellStyle name="强调文字颜色 5 3" xfId="120"/>
    <cellStyle name="强调文字颜色 6 2" xfId="121"/>
    <cellStyle name="强调文字颜色 6 3" xfId="122"/>
    <cellStyle name="适中 2" xfId="123"/>
    <cellStyle name="适中 3" xfId="124"/>
    <cellStyle name="输出 2" xfId="125"/>
    <cellStyle name="输出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tabSelected="1" view="pageBreakPreview" zoomScaleNormal="85" workbookViewId="0">
      <selection activeCell="O14" sqref="O14"/>
    </sheetView>
  </sheetViews>
  <sheetFormatPr defaultColWidth="15.625" defaultRowHeight="27.75" customHeight="1"/>
  <cols>
    <col min="1" max="1" width="5" customWidth="1"/>
    <col min="2" max="2" width="7.5" customWidth="1"/>
    <col min="3" max="3" width="7.625" customWidth="1"/>
    <col min="4" max="4" width="8.06666666666667" customWidth="1"/>
    <col min="5" max="5" width="7.5" customWidth="1"/>
    <col min="6" max="6" width="9.25" customWidth="1"/>
    <col min="7" max="7" width="1" customWidth="1"/>
    <col min="8" max="11" width="7.94166666666667" customWidth="1"/>
    <col min="12" max="12" width="9.44166666666667" customWidth="1"/>
    <col min="13" max="13" width="9.56666666666667" customWidth="1"/>
    <col min="14" max="14" width="9.44166666666667" customWidth="1"/>
    <col min="15" max="15" width="11.9416666666667" customWidth="1"/>
  </cols>
  <sheetData>
    <row r="1" ht="36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3" customHeight="1" spans="1:15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3"/>
      <c r="J2" s="3"/>
      <c r="K2" s="3"/>
      <c r="L2" s="3"/>
      <c r="M2" s="4" t="s">
        <v>3</v>
      </c>
      <c r="N2" s="5"/>
      <c r="O2" s="5"/>
    </row>
    <row r="3" ht="62" customHeight="1" spans="1:1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/>
      <c r="H3" s="3" t="s">
        <v>5</v>
      </c>
      <c r="I3" s="3" t="s">
        <v>6</v>
      </c>
      <c r="J3" s="3" t="s">
        <v>7</v>
      </c>
      <c r="K3" s="3" t="s">
        <v>8</v>
      </c>
      <c r="L3" s="3" t="s">
        <v>10</v>
      </c>
      <c r="M3" s="6" t="s">
        <v>11</v>
      </c>
      <c r="N3" s="7" t="s">
        <v>12</v>
      </c>
      <c r="O3" s="3" t="s">
        <v>13</v>
      </c>
    </row>
    <row r="4" ht="62" customHeight="1" spans="1:15">
      <c r="A4" s="8" t="s">
        <v>14</v>
      </c>
      <c r="B4" s="9">
        <v>1451.58</v>
      </c>
      <c r="C4" s="9">
        <v>1635.52</v>
      </c>
      <c r="D4" s="10">
        <f>C4-B4</f>
        <v>183.94</v>
      </c>
      <c r="E4" s="11">
        <v>400</v>
      </c>
      <c r="F4" s="10">
        <f>D4*E4</f>
        <v>73576</v>
      </c>
      <c r="G4" s="12"/>
      <c r="H4" s="13">
        <v>1.31</v>
      </c>
      <c r="I4" s="13">
        <v>1.37</v>
      </c>
      <c r="J4" s="14">
        <f>I4-H4</f>
        <v>0.0600000000000001</v>
      </c>
      <c r="K4" s="11">
        <v>6000</v>
      </c>
      <c r="L4" s="10">
        <f>J4*K4</f>
        <v>360</v>
      </c>
      <c r="M4" s="10">
        <f>F4-L4</f>
        <v>73216</v>
      </c>
      <c r="N4" s="11">
        <v>0.64</v>
      </c>
      <c r="O4" s="15">
        <f>M4*N4</f>
        <v>46858.24</v>
      </c>
    </row>
    <row r="5" ht="47" customHeight="1" spans="1:15">
      <c r="A5" s="4" t="s">
        <v>15</v>
      </c>
      <c r="B5" s="29" t="s">
        <v>16</v>
      </c>
      <c r="C5" s="4"/>
      <c r="D5" s="4"/>
      <c r="E5" s="4" t="s">
        <v>17</v>
      </c>
      <c r="F5" s="30" t="s">
        <v>18</v>
      </c>
      <c r="G5" s="5"/>
      <c r="H5" s="5"/>
      <c r="I5" s="9"/>
      <c r="J5" s="4" t="s">
        <v>17</v>
      </c>
      <c r="K5" s="4"/>
      <c r="L5" s="16" t="s">
        <v>19</v>
      </c>
      <c r="M5" s="16"/>
      <c r="N5" s="16"/>
      <c r="O5" s="17"/>
    </row>
    <row r="6" ht="47" customHeight="1" spans="1:15">
      <c r="A6" s="17"/>
      <c r="B6" s="18"/>
      <c r="C6" s="18"/>
      <c r="D6" s="18"/>
      <c r="E6" s="4" t="s">
        <v>20</v>
      </c>
      <c r="F6" s="30" t="s">
        <v>21</v>
      </c>
      <c r="G6" s="5"/>
      <c r="H6" s="5"/>
      <c r="I6" s="9"/>
      <c r="J6" s="4" t="s">
        <v>22</v>
      </c>
      <c r="K6" s="4"/>
      <c r="L6" s="16" t="s">
        <v>23</v>
      </c>
      <c r="M6" s="16"/>
      <c r="N6" s="19"/>
      <c r="O6" s="16"/>
    </row>
    <row r="7" ht="57" customHeight="1" spans="1:15">
      <c r="A7" s="20" t="s">
        <v>24</v>
      </c>
      <c r="B7" s="21"/>
      <c r="C7" s="21"/>
      <c r="D7" s="21"/>
      <c r="E7" s="21"/>
      <c r="N7" s="22" t="s">
        <v>25</v>
      </c>
      <c r="O7" s="22" t="s">
        <v>26</v>
      </c>
    </row>
    <row r="8" ht="57" customHeight="1" spans="1:15">
      <c r="A8" s="20"/>
      <c r="B8" s="21"/>
      <c r="C8" s="21"/>
      <c r="D8" s="21"/>
      <c r="E8" s="21"/>
      <c r="N8" s="22"/>
      <c r="O8" s="22"/>
    </row>
    <row r="10" customHeight="1" spans="1:1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ht="52.05" customHeight="1" spans="1:15">
      <c r="A11" s="2" t="s">
        <v>1</v>
      </c>
      <c r="B11" s="2"/>
      <c r="C11" s="2"/>
      <c r="D11" s="2"/>
      <c r="E11" s="2"/>
      <c r="F11" s="2"/>
      <c r="G11" s="2"/>
      <c r="H11" s="3" t="s">
        <v>2</v>
      </c>
      <c r="I11" s="3"/>
      <c r="J11" s="3"/>
      <c r="K11" s="3"/>
      <c r="L11" s="3"/>
      <c r="M11" s="4" t="s">
        <v>3</v>
      </c>
      <c r="N11" s="5"/>
      <c r="O11" s="5"/>
    </row>
    <row r="12" ht="52.05" customHeight="1" spans="1:15">
      <c r="A12" s="3" t="s">
        <v>4</v>
      </c>
      <c r="B12" s="3" t="s">
        <v>5</v>
      </c>
      <c r="C12" s="3" t="s">
        <v>6</v>
      </c>
      <c r="D12" s="3" t="s">
        <v>7</v>
      </c>
      <c r="E12" s="3" t="s">
        <v>8</v>
      </c>
      <c r="F12" s="3" t="s">
        <v>9</v>
      </c>
      <c r="G12" s="3"/>
      <c r="H12" s="3" t="s">
        <v>5</v>
      </c>
      <c r="I12" s="3" t="s">
        <v>6</v>
      </c>
      <c r="J12" s="3" t="s">
        <v>7</v>
      </c>
      <c r="K12" s="3" t="s">
        <v>8</v>
      </c>
      <c r="L12" s="3" t="s">
        <v>10</v>
      </c>
      <c r="M12" s="6" t="s">
        <v>11</v>
      </c>
      <c r="N12" s="7" t="s">
        <v>12</v>
      </c>
      <c r="O12" s="3" t="s">
        <v>13</v>
      </c>
    </row>
    <row r="13" ht="52.05" customHeight="1" spans="1:15">
      <c r="A13" s="8" t="s">
        <v>14</v>
      </c>
      <c r="B13" s="10">
        <v>1424.29</v>
      </c>
      <c r="C13" s="10">
        <v>1615.73</v>
      </c>
      <c r="D13" s="10">
        <f>C13-B13</f>
        <v>191.44</v>
      </c>
      <c r="E13" s="11">
        <v>400</v>
      </c>
      <c r="F13" s="10">
        <f>D13*E13</f>
        <v>76576</v>
      </c>
      <c r="G13" s="12"/>
      <c r="H13" s="23">
        <v>45.57</v>
      </c>
      <c r="I13" s="23">
        <v>49.83</v>
      </c>
      <c r="J13" s="14">
        <f>I13-H13</f>
        <v>4.26</v>
      </c>
      <c r="K13" s="11">
        <v>400</v>
      </c>
      <c r="L13" s="10">
        <f>J13*K13</f>
        <v>1704</v>
      </c>
      <c r="M13" s="10">
        <f>F13-L13</f>
        <v>74872</v>
      </c>
      <c r="N13" s="11">
        <v>0.64</v>
      </c>
      <c r="O13" s="15">
        <f>M13*N13</f>
        <v>47918.08</v>
      </c>
    </row>
    <row r="14" ht="52.05" customHeight="1" spans="1:15">
      <c r="A14" s="19" t="s">
        <v>15</v>
      </c>
      <c r="B14" s="30" t="s">
        <v>27</v>
      </c>
      <c r="C14" s="5"/>
      <c r="D14" s="5"/>
      <c r="E14" s="4" t="s">
        <v>20</v>
      </c>
      <c r="F14" s="30" t="s">
        <v>28</v>
      </c>
      <c r="G14" s="5"/>
      <c r="H14" s="5"/>
      <c r="I14" s="5"/>
      <c r="J14" s="4" t="s">
        <v>22</v>
      </c>
      <c r="K14" s="4"/>
      <c r="L14" s="24" t="s">
        <v>29</v>
      </c>
      <c r="M14" s="25"/>
      <c r="N14" s="25"/>
      <c r="O14" s="26"/>
    </row>
    <row r="15" ht="52.05" customHeight="1" spans="1:15">
      <c r="A15" s="19"/>
      <c r="B15" s="4"/>
      <c r="C15" s="4"/>
      <c r="D15" s="4"/>
      <c r="E15" s="27" t="s">
        <v>30</v>
      </c>
      <c r="F15" s="31" t="s">
        <v>31</v>
      </c>
      <c r="G15" s="28"/>
      <c r="H15" s="28"/>
      <c r="I15" s="28"/>
      <c r="J15" s="4" t="s">
        <v>32</v>
      </c>
      <c r="K15" s="4"/>
      <c r="L15" s="5" t="s">
        <v>33</v>
      </c>
      <c r="M15" s="5"/>
      <c r="N15" s="5"/>
      <c r="O15" s="16"/>
    </row>
    <row r="16" ht="20" customHeight="1" spans="1:15">
      <c r="A16" s="20" t="s">
        <v>24</v>
      </c>
      <c r="B16" s="21"/>
      <c r="C16" s="21"/>
      <c r="D16" s="21"/>
      <c r="E16" s="21"/>
      <c r="I16" s="32" t="s">
        <v>34</v>
      </c>
      <c r="O16" s="22" t="s">
        <v>25</v>
      </c>
    </row>
    <row r="17" ht="22.05" customHeight="1" spans="1:15">
      <c r="A17" s="20"/>
      <c r="B17" s="21"/>
      <c r="C17" s="21"/>
      <c r="D17" s="21"/>
      <c r="E17" s="21"/>
      <c r="O17" s="22"/>
    </row>
  </sheetData>
  <mergeCells count="24">
    <mergeCell ref="A1:O1"/>
    <mergeCell ref="A2:F2"/>
    <mergeCell ref="H2:L2"/>
    <mergeCell ref="M2:O2"/>
    <mergeCell ref="B5:D5"/>
    <mergeCell ref="F5:I5"/>
    <mergeCell ref="J5:K5"/>
    <mergeCell ref="B6:D6"/>
    <mergeCell ref="F6:I6"/>
    <mergeCell ref="J6:K6"/>
    <mergeCell ref="A7:E7"/>
    <mergeCell ref="A10:O10"/>
    <mergeCell ref="A11:F11"/>
    <mergeCell ref="H11:L11"/>
    <mergeCell ref="M11:O11"/>
    <mergeCell ref="B14:D14"/>
    <mergeCell ref="F14:I14"/>
    <mergeCell ref="J14:K14"/>
    <mergeCell ref="L14:N14"/>
    <mergeCell ref="B15:D15"/>
    <mergeCell ref="F15:I15"/>
    <mergeCell ref="J15:K15"/>
    <mergeCell ref="L15:N15"/>
    <mergeCell ref="A16:E16"/>
  </mergeCells>
  <pageMargins left="0.118055555555556" right="0.145138888888889" top="0.724305555555556" bottom="0.747916666666667" header="0.314583333333333" footer="0.314583333333333"/>
  <pageSetup paperSize="9" orientation="landscape"/>
  <headerFooter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WPS_1546503816</cp:lastModifiedBy>
  <dcterms:created xsi:type="dcterms:W3CDTF">2008-09-11T17:22:00Z</dcterms:created>
  <cp:lastPrinted>2022-11-14T05:54:00Z</cp:lastPrinted>
  <dcterms:modified xsi:type="dcterms:W3CDTF">2026-02-27T08:09:43Z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057184D94AE44D309FB23E810441271E_13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