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225"/>
  </bookViews>
  <sheets>
    <sheet name="首熙20261月" sheetId="76" r:id="rId1"/>
    <sheet name="每月汇总" sheetId="77" r:id="rId2"/>
  </sheets>
  <externalReferences>
    <externalReference r:id="rId3"/>
  </externalReferences>
  <definedNames>
    <definedName name="_xlnm._FilterDatabase" localSheetId="0" hidden="1">首熙20261月!$A$1:$Q$9</definedName>
    <definedName name="_xlnm.Print_Area" localSheetId="1">每月汇总!$A$1:$J$3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<sst xmlns="http://schemas.openxmlformats.org/spreadsheetml/2006/main" count="46" uniqueCount="39">
  <si>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深圳市首熙机械设备有限公司1月电费单</t>
  </si>
  <si>
    <t>正向数据</t>
  </si>
  <si>
    <t>反向数据</t>
  </si>
  <si>
    <t>实际用电数</t>
  </si>
  <si>
    <t>电价</t>
  </si>
  <si>
    <t>金额</t>
  </si>
  <si>
    <t>电表号</t>
  </si>
  <si>
    <t>类别</t>
  </si>
  <si>
    <t>上月表数</t>
  </si>
  <si>
    <t>本月表数</t>
  </si>
  <si>
    <t>电表用理</t>
  </si>
  <si>
    <t>倍率</t>
  </si>
  <si>
    <t>用电量</t>
  </si>
  <si>
    <t>上网表号</t>
  </si>
  <si>
    <t>反向用电量合计</t>
  </si>
  <si>
    <t>用电户号0950000088133431</t>
  </si>
  <si>
    <t>资产号'07348994</t>
  </si>
  <si>
    <t>正有功尖峰1</t>
  </si>
  <si>
    <t>0950050038441846</t>
  </si>
  <si>
    <t>发电'0950050038124235</t>
  </si>
  <si>
    <t>正有功峰2</t>
  </si>
  <si>
    <t>上网电表：0950050038441846</t>
  </si>
  <si>
    <t>正有功平</t>
  </si>
  <si>
    <t>上网电表资产表：09001SG00000062105025931</t>
  </si>
  <si>
    <t>用户号：0950000088133431</t>
  </si>
  <si>
    <t>正有功谷</t>
  </si>
  <si>
    <t>发电表号：0950050038124235</t>
  </si>
  <si>
    <t>正有功总</t>
  </si>
  <si>
    <t>发电资产号09001SF00000042207348994</t>
  </si>
  <si>
    <r>
      <rPr>
        <sz val="11"/>
        <color theme="1"/>
        <rFont val="Tahoma"/>
        <charset val="134"/>
      </rPr>
      <t>9.8</t>
    </r>
    <r>
      <rPr>
        <sz val="11"/>
        <color theme="1"/>
        <rFont val="宋体"/>
        <charset val="134"/>
      </rPr>
      <t>折，折后</t>
    </r>
  </si>
  <si>
    <t>上网表7月新装09001SG00000062307618025</t>
  </si>
  <si>
    <t>2025年2月深圳市首熙机械设备有限公司有限公司电费单</t>
  </si>
  <si>
    <t>用户号</t>
  </si>
  <si>
    <t>发电表号</t>
  </si>
  <si>
    <t>发电表资产编号</t>
  </si>
  <si>
    <t>上网表资产号</t>
  </si>
  <si>
    <t>发电量</t>
  </si>
  <si>
    <t>上网电量</t>
  </si>
  <si>
    <t>上网费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</si>
</sst>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0000_ "/>
  </numFmts>
  <fonts count="50">
    <font>
      <sz val="11"/>
      <color theme="1"/>
      <name val="Tahoma"/>
      <charset val="134"/>
    </font>
    <font>
      <sz val="11"/>
      <name val="Tahoma"/>
      <charset val="134"/>
    </font>
    <font>
      <sz val="11"/>
      <color rgb="FFFF0000"/>
      <name val="Tahoma"/>
      <charset val="134"/>
    </font>
    <font>
      <b/>
      <sz val="20"/>
      <name val="宋体"/>
      <charset val="134"/>
    </font>
    <font>
      <sz val="16"/>
      <color theme="1"/>
      <name val="宋体"/>
      <charset val="134"/>
    </font>
    <font>
      <sz val="16"/>
      <name val="宋体"/>
      <charset val="134"/>
    </font>
    <font>
      <sz val="16"/>
      <color theme="1"/>
      <name val="Tahoma"/>
      <charset val="134"/>
    </font>
    <font>
      <sz val="16"/>
      <name val="Tahoma"/>
      <charset val="134"/>
    </font>
    <font>
      <b/>
      <sz val="11"/>
      <name val="宋体"/>
      <charset val="134"/>
    </font>
    <font>
      <b/>
      <sz val="11"/>
      <color theme="1"/>
      <name val="宋体"/>
      <charset val="134"/>
    </font>
    <font>
      <sz val="12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name val="微软雅黑"/>
      <charset val="134"/>
    </font>
    <font>
      <sz val="8"/>
      <name val="微软雅黑"/>
      <charset val="134"/>
    </font>
    <font>
      <b/>
      <sz val="11"/>
      <color theme="1"/>
      <name val="Tahom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theme="1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45066682943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"/>
      </bottom>
      <diagonal/>
    </border>
  </borders>
  <cellStyleXfs count="131">
    <xf numFmtId="0" fontId="0" fillId="0" borderId="0"/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4" borderId="1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14" applyNumberFormat="0" applyAlignment="0" applyProtection="0">
      <alignment vertical="center"/>
    </xf>
    <xf numFmtId="0" fontId="27" fillId="6" borderId="15" applyNumberFormat="0" applyAlignment="0" applyProtection="0">
      <alignment vertical="center"/>
    </xf>
    <xf numFmtId="0" fontId="28" fillId="6" borderId="14" applyNumberFormat="0" applyAlignment="0" applyProtection="0">
      <alignment vertical="center"/>
    </xf>
    <xf numFmtId="0" fontId="29" fillId="7" borderId="16" applyNumberFormat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7" fillId="6" borderId="15" applyNumberFormat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38" fillId="6" borderId="14" applyNumberFormat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37" fillId="6" borderId="15" applyNumberFormat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38" fillId="6" borderId="14" applyNumberFormat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41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0" fontId="45" fillId="7" borderId="16" applyNumberFormat="0" applyAlignment="0" applyProtection="0">
      <alignment vertical="center"/>
    </xf>
    <xf numFmtId="0" fontId="45" fillId="7" borderId="16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8" fillId="5" borderId="14" applyNumberFormat="0" applyAlignment="0" applyProtection="0">
      <alignment vertical="center"/>
    </xf>
    <xf numFmtId="0" fontId="48" fillId="5" borderId="14" applyNumberFormat="0" applyAlignment="0" applyProtection="0">
      <alignment vertical="center"/>
    </xf>
    <xf numFmtId="0" fontId="17" fillId="4" borderId="11" applyNumberFormat="0" applyFont="0" applyAlignment="0" applyProtection="0">
      <alignment vertical="center"/>
    </xf>
    <xf numFmtId="0" fontId="17" fillId="4" borderId="11" applyNumberFormat="0" applyFont="0" applyAlignment="0" applyProtection="0">
      <alignment vertical="center"/>
    </xf>
  </cellStyleXfs>
  <cellXfs count="60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7" fontId="8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77" fontId="8" fillId="0" borderId="2" xfId="0" applyNumberFormat="1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14" fillId="3" borderId="7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4" fillId="3" borderId="8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6" fontId="0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3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4" fillId="3" borderId="10" xfId="0" applyNumberFormat="1" applyFont="1" applyFill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0" fillId="0" borderId="2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5" fillId="3" borderId="8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16" fillId="0" borderId="0" xfId="0" applyFont="1" applyAlignment="1">
      <alignment vertical="top"/>
    </xf>
  </cellXfs>
  <cellStyles count="13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输出 3" xfId="49"/>
    <cellStyle name="20% - 强调文字颜色 1 2" xfId="50"/>
    <cellStyle name="计算 2" xfId="51"/>
    <cellStyle name="60% - 强调文字颜色 2 3" xfId="52"/>
    <cellStyle name="40% - 强调文字颜色 4 2" xfId="53"/>
    <cellStyle name="20% - 强调文字颜色 5 3" xfId="54"/>
    <cellStyle name="20% - 强调文字颜色 2 3" xfId="55"/>
    <cellStyle name="40% - 强调文字颜色 1 2" xfId="56"/>
    <cellStyle name="20% - 强调文字颜色 3 3" xfId="57"/>
    <cellStyle name="40% - 强调文字颜色 2 2" xfId="58"/>
    <cellStyle name="链接单元格 3" xfId="59"/>
    <cellStyle name="20% - 强调文字颜色 6 3" xfId="60"/>
    <cellStyle name="输出 2" xfId="61"/>
    <cellStyle name="20% - 强调文字颜色 1 3" xfId="62"/>
    <cellStyle name="计算 3" xfId="63"/>
    <cellStyle name="适中 2" xfId="64"/>
    <cellStyle name="20% - 强调文字颜色 2 2" xfId="65"/>
    <cellStyle name="20% - 强调文字颜色 3 2" xfId="66"/>
    <cellStyle name="20% - 强调文字颜色 4 2" xfId="67"/>
    <cellStyle name="常规 3" xfId="68"/>
    <cellStyle name="20% - 强调文字颜色 4 3" xfId="69"/>
    <cellStyle name="20% - 强调文字颜色 5 2" xfId="70"/>
    <cellStyle name="20% - 强调文字颜色 6 2" xfId="71"/>
    <cellStyle name="40% - 强调文字颜色 1 3" xfId="72"/>
    <cellStyle name="40% - 强调文字颜色 2 3" xfId="73"/>
    <cellStyle name="40% - 强调文字颜色 3 2" xfId="74"/>
    <cellStyle name="40% - 强调文字颜色 3 3" xfId="75"/>
    <cellStyle name="40% - 强调文字颜色 4 3" xfId="76"/>
    <cellStyle name="40% - 强调文字颜色 5 2" xfId="77"/>
    <cellStyle name="40% - 强调文字颜色 5 3" xfId="78"/>
    <cellStyle name="40% - 强调文字颜色 6 2" xfId="79"/>
    <cellStyle name="40% - 强调文字颜色 6 3" xfId="80"/>
    <cellStyle name="60% - 强调文字颜色 1 2" xfId="81"/>
    <cellStyle name="60% - 强调文字颜色 1 3" xfId="82"/>
    <cellStyle name="60% - 强调文字颜色 2 2" xfId="83"/>
    <cellStyle name="60% - 强调文字颜色 3 2" xfId="84"/>
    <cellStyle name="60% - 强调文字颜色 3 3" xfId="85"/>
    <cellStyle name="60% - 强调文字颜色 4 2" xfId="86"/>
    <cellStyle name="60% - 强调文字颜色 4 3" xfId="87"/>
    <cellStyle name="60% - 强调文字颜色 5 2" xfId="88"/>
    <cellStyle name="60% - 强调文字颜色 5 3" xfId="89"/>
    <cellStyle name="60% - 强调文字颜色 6 2" xfId="90"/>
    <cellStyle name="60% - 强调文字颜色 6 3" xfId="91"/>
    <cellStyle name="标题 1 2" xfId="92"/>
    <cellStyle name="标题 1 3" xfId="93"/>
    <cellStyle name="标题 2 2" xfId="94"/>
    <cellStyle name="标题 2 3" xfId="95"/>
    <cellStyle name="标题 3 2" xfId="96"/>
    <cellStyle name="标题 3 3" xfId="97"/>
    <cellStyle name="标题 4 2" xfId="98"/>
    <cellStyle name="标题 4 3" xfId="99"/>
    <cellStyle name="差 2" xfId="100"/>
    <cellStyle name="差 3" xfId="101"/>
    <cellStyle name="好 2" xfId="102"/>
    <cellStyle name="好 3" xfId="103"/>
    <cellStyle name="汇总 2" xfId="104"/>
    <cellStyle name="汇总 3" xfId="105"/>
    <cellStyle name="货币 3" xfId="106"/>
    <cellStyle name="检查单元格 2" xfId="107"/>
    <cellStyle name="检查单元格 3" xfId="108"/>
    <cellStyle name="解释性文本 2" xfId="109"/>
    <cellStyle name="解释性文本 3" xfId="110"/>
    <cellStyle name="警告文本 2" xfId="111"/>
    <cellStyle name="警告文本 3" xfId="112"/>
    <cellStyle name="链接单元格 2" xfId="113"/>
    <cellStyle name="强调文字颜色 1 2" xfId="114"/>
    <cellStyle name="强调文字颜色 1 3" xfId="115"/>
    <cellStyle name="强调文字颜色 2 2" xfId="116"/>
    <cellStyle name="强调文字颜色 2 3" xfId="117"/>
    <cellStyle name="强调文字颜色 3 2" xfId="118"/>
    <cellStyle name="强调文字颜色 3 3" xfId="119"/>
    <cellStyle name="强调文字颜色 4 2" xfId="120"/>
    <cellStyle name="强调文字颜色 4 3" xfId="121"/>
    <cellStyle name="强调文字颜色 5 2" xfId="122"/>
    <cellStyle name="强调文字颜色 5 3" xfId="123"/>
    <cellStyle name="强调文字颜色 6 2" xfId="124"/>
    <cellStyle name="强调文字颜色 6 3" xfId="125"/>
    <cellStyle name="适中 3" xfId="126"/>
    <cellStyle name="输入 2" xfId="127"/>
    <cellStyle name="输入 3" xfId="128"/>
    <cellStyle name="注释 2" xfId="129"/>
    <cellStyle name="注释 3" xfId="130"/>
  </cellStyles>
  <tableStyles count="0" defaultTableStyle="TableStyleMedium9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648;&#33021;&#12289;&#30005;&#36153;&#27599;&#26376;&#32479;&#35745;\&#39318;&#29081;\2025&#24180;12&#26376;\&#39318;&#29081;202512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首熙202502"/>
      <sheetName val="供电局抄表记录2月"/>
      <sheetName val="首熙202503月"/>
      <sheetName val="供电局抄表记录3月"/>
      <sheetName val="首熙202504月 (2)"/>
      <sheetName val="首熙202505月 (3)"/>
      <sheetName val="首熙202506月 (2)"/>
      <sheetName val="首熙202507月 (3)"/>
      <sheetName val="首熙202507月 (2)"/>
      <sheetName val="首熙202508月 (3)"/>
      <sheetName val="首熙202509月 (2)"/>
      <sheetName val="首熙202510月 (3)"/>
      <sheetName val="首熙202511月 (2)"/>
      <sheetName val="首熙202512月"/>
      <sheetName val="每月汇总"/>
    </sheetNames>
    <sheetDataSet>
      <sheetData sheetId="0">
        <row r="7">
          <cell r="A7" t="str">
            <v>用户号：0950000088133431</v>
          </cell>
        </row>
      </sheetData>
      <sheetData sheetId="1">
        <row r="3">
          <cell r="A3" t="str">
            <v>0950050038124235</v>
          </cell>
          <cell r="B3" t="str">
            <v>09001SF00000042207348994</v>
          </cell>
        </row>
        <row r="4">
          <cell r="A4" t="str">
            <v>0950050038441846</v>
          </cell>
          <cell r="B4" t="str">
            <v>09001SG00000062105025931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tabSelected="1" view="pageBreakPreview" zoomScale="85" zoomScaleNormal="85" workbookViewId="0">
      <selection activeCell="D7" sqref="D7"/>
    </sheetView>
  </sheetViews>
  <sheetFormatPr defaultColWidth="15.6" defaultRowHeight="27.75" customHeight="1"/>
  <cols>
    <col min="1" max="1" width="8.525" customWidth="1"/>
    <col min="2" max="2" width="7.35" customWidth="1"/>
    <col min="3" max="3" width="7.35" style="19" customWidth="1"/>
    <col min="4" max="4" width="8.5" style="19" customWidth="1"/>
    <col min="5" max="5" width="9.41666666666667" style="19" customWidth="1"/>
    <col min="6" max="6" width="7.35" style="19" customWidth="1"/>
    <col min="7" max="7" width="12.9333333333333" style="19" customWidth="1"/>
    <col min="8" max="8" width="9.125" style="19" customWidth="1"/>
    <col min="9" max="10" width="7.34166666666667" style="19" customWidth="1"/>
    <col min="11" max="12" width="7.34166666666667" customWidth="1"/>
    <col min="13" max="14" width="11.3166666666667" customWidth="1"/>
    <col min="15" max="15" width="12.0583333333333" style="19" customWidth="1"/>
    <col min="16" max="16" width="10.8833333333333" customWidth="1"/>
    <col min="17" max="17" width="37.5" style="19" customWidth="1"/>
    <col min="19" max="29" width="9.10833333333333" customWidth="1"/>
  </cols>
  <sheetData>
    <row r="1" ht="57" customHeight="1" spans="1:17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ht="39" customHeight="1" spans="1:17">
      <c r="A2" s="21" t="s">
        <v>1</v>
      </c>
      <c r="B2" s="21"/>
      <c r="C2" s="21"/>
      <c r="D2" s="21"/>
      <c r="E2" s="21"/>
      <c r="F2" s="21"/>
      <c r="G2" s="21"/>
      <c r="H2" s="21"/>
      <c r="I2" s="22" t="s">
        <v>2</v>
      </c>
      <c r="J2" s="23"/>
      <c r="K2" s="24"/>
      <c r="L2" s="24"/>
      <c r="M2" s="25"/>
      <c r="N2" s="26" t="s">
        <v>3</v>
      </c>
      <c r="O2" s="27" t="s">
        <v>4</v>
      </c>
      <c r="P2" s="28" t="s">
        <v>5</v>
      </c>
    </row>
    <row r="3" ht="39" customHeight="1" spans="1:17">
      <c r="A3" s="29" t="s">
        <v>6</v>
      </c>
      <c r="B3" s="30" t="s">
        <v>7</v>
      </c>
      <c r="C3" s="31" t="s">
        <v>8</v>
      </c>
      <c r="D3" s="31" t="s">
        <v>9</v>
      </c>
      <c r="E3" s="31" t="s">
        <v>10</v>
      </c>
      <c r="F3" s="31" t="s">
        <v>11</v>
      </c>
      <c r="G3" s="31" t="s">
        <v>12</v>
      </c>
      <c r="H3" s="31" t="s">
        <v>13</v>
      </c>
      <c r="I3" s="32" t="s">
        <v>8</v>
      </c>
      <c r="J3" s="32" t="s">
        <v>9</v>
      </c>
      <c r="K3" s="33" t="s">
        <v>10</v>
      </c>
      <c r="L3" s="33" t="s">
        <v>11</v>
      </c>
      <c r="M3" s="34" t="s">
        <v>14</v>
      </c>
      <c r="N3" s="34"/>
      <c r="O3" s="35"/>
      <c r="P3" s="36"/>
      <c r="Q3" s="37" t="s">
        <v>15</v>
      </c>
    </row>
    <row r="4" ht="48" customHeight="1" spans="1:17">
      <c r="A4" s="38" t="s">
        <v>16</v>
      </c>
      <c r="B4" s="38" t="s">
        <v>17</v>
      </c>
      <c r="C4" s="39">
        <v>667.12</v>
      </c>
      <c r="D4" s="39">
        <v>722.26</v>
      </c>
      <c r="E4" s="40">
        <f t="shared" ref="E4:E8" si="0">D4-C4</f>
        <v>55.14</v>
      </c>
      <c r="F4" s="40">
        <v>100</v>
      </c>
      <c r="G4" s="40">
        <f t="shared" ref="G4:G8" si="1">E4*F4</f>
        <v>5514</v>
      </c>
      <c r="H4" s="41" t="s">
        <v>18</v>
      </c>
      <c r="I4" s="42">
        <v>32.66</v>
      </c>
      <c r="J4" s="42">
        <v>37.77</v>
      </c>
      <c r="K4" s="43">
        <f t="shared" ref="K4:K8" si="2">J4-I4</f>
        <v>5.11000000000001</v>
      </c>
      <c r="L4" s="43">
        <v>600</v>
      </c>
      <c r="M4" s="40">
        <f t="shared" ref="M4:M8" si="3">K4*L4</f>
        <v>3066</v>
      </c>
      <c r="N4" s="40">
        <f t="shared" ref="N4:N7" si="4">G4-M4</f>
        <v>2447.99999999999</v>
      </c>
      <c r="O4" s="44">
        <v>0.99806875</v>
      </c>
      <c r="P4" s="45">
        <f t="shared" ref="P4:P7" si="5">N4*O4</f>
        <v>2443.27229999999</v>
      </c>
      <c r="Q4" s="46"/>
    </row>
    <row r="5" ht="48" customHeight="1" spans="1:17">
      <c r="A5" s="38" t="s">
        <v>19</v>
      </c>
      <c r="B5" s="38" t="s">
        <v>20</v>
      </c>
      <c r="C5" s="39">
        <v>625.59</v>
      </c>
      <c r="D5" s="39">
        <v>677.71</v>
      </c>
      <c r="E5" s="40">
        <f t="shared" si="0"/>
        <v>52.12</v>
      </c>
      <c r="F5" s="40">
        <v>100</v>
      </c>
      <c r="G5" s="40">
        <f t="shared" si="1"/>
        <v>5212</v>
      </c>
      <c r="H5" s="41"/>
      <c r="I5" s="42">
        <v>30.92</v>
      </c>
      <c r="J5" s="42">
        <v>35.83</v>
      </c>
      <c r="K5" s="43">
        <f t="shared" si="2"/>
        <v>4.91</v>
      </c>
      <c r="L5" s="43">
        <v>600</v>
      </c>
      <c r="M5" s="40">
        <f t="shared" si="3"/>
        <v>2946</v>
      </c>
      <c r="N5" s="40">
        <f t="shared" si="4"/>
        <v>2266</v>
      </c>
      <c r="O5" s="44">
        <v>0.99806875</v>
      </c>
      <c r="P5" s="45">
        <f t="shared" si="5"/>
        <v>2261.6237875</v>
      </c>
      <c r="Q5" s="37" t="s">
        <v>21</v>
      </c>
    </row>
    <row r="6" ht="48" customHeight="1" spans="1:17">
      <c r="A6" s="47"/>
      <c r="B6" s="38" t="s">
        <v>22</v>
      </c>
      <c r="C6" s="39">
        <v>1074.72</v>
      </c>
      <c r="D6" s="39">
        <v>1163.15</v>
      </c>
      <c r="E6" s="40">
        <f t="shared" si="0"/>
        <v>88.4300000000001</v>
      </c>
      <c r="F6" s="40">
        <v>100</v>
      </c>
      <c r="G6" s="40">
        <f t="shared" si="1"/>
        <v>8843.00000000001</v>
      </c>
      <c r="H6" s="41"/>
      <c r="I6" s="42">
        <v>67.28</v>
      </c>
      <c r="J6" s="42">
        <v>78.19</v>
      </c>
      <c r="K6" s="43">
        <f t="shared" si="2"/>
        <v>10.91</v>
      </c>
      <c r="L6" s="43">
        <v>600</v>
      </c>
      <c r="M6" s="40">
        <f t="shared" si="3"/>
        <v>6546</v>
      </c>
      <c r="N6" s="40">
        <f t="shared" si="4"/>
        <v>2297.00000000001</v>
      </c>
      <c r="O6" s="44">
        <v>0.65596875</v>
      </c>
      <c r="P6" s="45">
        <f t="shared" si="5"/>
        <v>1506.76021875001</v>
      </c>
      <c r="Q6" s="37" t="s">
        <v>23</v>
      </c>
    </row>
    <row r="7" ht="48" customHeight="1" spans="1:17">
      <c r="A7" s="48" t="s">
        <v>24</v>
      </c>
      <c r="B7" s="38" t="s">
        <v>25</v>
      </c>
      <c r="C7" s="39">
        <v>88.6</v>
      </c>
      <c r="D7" s="39">
        <v>90.32</v>
      </c>
      <c r="E7" s="40">
        <f t="shared" si="0"/>
        <v>1.72</v>
      </c>
      <c r="F7" s="40">
        <v>100</v>
      </c>
      <c r="G7" s="40">
        <f t="shared" si="1"/>
        <v>172</v>
      </c>
      <c r="H7" s="41"/>
      <c r="I7" s="42">
        <v>2.84</v>
      </c>
      <c r="J7" s="42">
        <v>2.89</v>
      </c>
      <c r="K7" s="43">
        <f t="shared" si="2"/>
        <v>0.0500000000000003</v>
      </c>
      <c r="L7" s="43">
        <v>600</v>
      </c>
      <c r="M7" s="40">
        <f t="shared" si="3"/>
        <v>30.0000000000002</v>
      </c>
      <c r="N7" s="40">
        <f t="shared" si="4"/>
        <v>142</v>
      </c>
      <c r="O7" s="49">
        <v>0.22516875</v>
      </c>
      <c r="P7" s="45">
        <f t="shared" si="5"/>
        <v>31.9739624999999</v>
      </c>
      <c r="Q7" s="37" t="s">
        <v>26</v>
      </c>
    </row>
    <row r="8" ht="48" customHeight="1" spans="1:17">
      <c r="A8" s="50"/>
      <c r="B8" s="38" t="s">
        <v>27</v>
      </c>
      <c r="C8" s="51">
        <v>2456.04</v>
      </c>
      <c r="D8" s="51">
        <v>2653.45</v>
      </c>
      <c r="E8" s="40">
        <f t="shared" si="0"/>
        <v>197.41</v>
      </c>
      <c r="F8" s="40">
        <v>100</v>
      </c>
      <c r="G8" s="40">
        <f t="shared" si="1"/>
        <v>19741</v>
      </c>
      <c r="H8" s="52"/>
      <c r="I8" s="42">
        <v>133.72</v>
      </c>
      <c r="J8" s="42">
        <v>154.69</v>
      </c>
      <c r="K8" s="43">
        <f t="shared" si="2"/>
        <v>20.97</v>
      </c>
      <c r="L8" s="43">
        <v>600</v>
      </c>
      <c r="M8" s="40">
        <f t="shared" si="3"/>
        <v>12582</v>
      </c>
      <c r="N8" s="40">
        <f>SUM(N4:N7)</f>
        <v>7153.00000000001</v>
      </c>
      <c r="O8" s="44"/>
      <c r="P8" s="45">
        <f>SUM(P4:P7)</f>
        <v>6243.63026875</v>
      </c>
      <c r="Q8" s="37" t="s">
        <v>28</v>
      </c>
    </row>
    <row r="9" ht="30" customHeight="1" spans="1:17">
      <c r="A9" s="53" t="s">
        <v>29</v>
      </c>
      <c r="B9" s="53"/>
      <c r="C9" s="54"/>
      <c r="D9" s="54"/>
      <c r="E9" s="54"/>
      <c r="F9" s="54"/>
      <c r="G9" s="54"/>
      <c r="H9" s="54"/>
      <c r="I9" s="54"/>
      <c r="J9" s="54"/>
      <c r="K9" s="53"/>
      <c r="L9" s="53"/>
      <c r="M9" s="55"/>
      <c r="N9" s="55">
        <f>P8*0.98</f>
        <v>6118.757663375</v>
      </c>
      <c r="O9" s="56"/>
      <c r="P9" s="55"/>
      <c r="Q9" s="37" t="s">
        <v>30</v>
      </c>
    </row>
    <row r="10" customHeight="1" spans="1:17">
      <c r="B10" s="57"/>
      <c r="C10" s="57"/>
      <c r="D10" s="57"/>
      <c r="E10" s="57"/>
      <c r="F10" s="57"/>
      <c r="G10" s="57"/>
    </row>
    <row r="11" customHeight="1" spans="1:17">
      <c r="J11" s="58"/>
      <c r="K11" s="59"/>
      <c r="L11" s="59"/>
    </row>
  </sheetData>
  <autoFilter xmlns:etc="http://www.wps.cn/officeDocument/2017/etCustomData" ref="A1:Q9" etc:filterBottomFollowUsedRange="0">
    <extLst/>
  </autoFilter>
  <mergeCells count="12">
    <mergeCell ref="A1:P1"/>
    <mergeCell ref="A2:G2"/>
    <mergeCell ref="I2:M2"/>
    <mergeCell ref="A9:L9"/>
    <mergeCell ref="N9:P9"/>
    <mergeCell ref="A5:A6"/>
    <mergeCell ref="A7:A8"/>
    <mergeCell ref="H4:H7"/>
    <mergeCell ref="N2:N3"/>
    <mergeCell ref="O2:O3"/>
    <mergeCell ref="P2:P3"/>
    <mergeCell ref="Q3:Q4"/>
  </mergeCells>
  <pageMargins left="0.118055555555556" right="0.145138888888889" top="0.724305555555556" bottom="0.747916666666667" header="0.314583333333333" footer="0.314583333333333"/>
  <pageSetup paperSize="9" scale="92" orientation="landscape" horizontalDpi="600"/>
  <headerFooter/>
  <colBreaks count="1" manualBreakCount="1">
    <brk id="1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view="pageBreakPreview" zoomScale="55" zoomScaleNormal="85" workbookViewId="0">
      <selection activeCell="C3" sqref="C3"/>
    </sheetView>
  </sheetViews>
  <sheetFormatPr defaultColWidth="15.6" defaultRowHeight="27.75" customHeight="1" outlineLevelRow="2"/>
  <cols>
    <col min="1" max="1" width="27.725" style="1" customWidth="1"/>
    <col min="2" max="2" width="29.0833333333333" style="1" customWidth="1"/>
    <col min="3" max="3" width="40.2166666666667" style="2" customWidth="1"/>
    <col min="4" max="4" width="28.8666666666667" style="1" customWidth="1"/>
    <col min="5" max="5" width="40.225" style="2" customWidth="1"/>
    <col min="6" max="6" width="15.7083333333333" style="2" customWidth="1"/>
    <col min="7" max="7" width="13.3833333333333" style="2" customWidth="1"/>
    <col min="8" max="8" width="19.5416666666667" style="3" customWidth="1"/>
    <col min="9" max="9" width="19.6416666666667" style="3" customWidth="1"/>
    <col min="10" max="10" width="14.45" style="2" customWidth="1"/>
    <col min="11" max="11" width="7.93333333333333" style="4" customWidth="1"/>
    <col min="12" max="12" width="9.40833333333333" style="5" customWidth="1"/>
    <col min="13" max="13" width="9.55833333333333" style="5" customWidth="1"/>
    <col min="14" max="14" width="11.25" style="6" customWidth="1"/>
    <col min="15" max="15" width="11.0583333333333" style="4" customWidth="1"/>
    <col min="16" max="16" width="12.1416666666667" style="5" customWidth="1"/>
    <col min="17" max="17" width="13.75" style="5" customWidth="1"/>
    <col min="18" max="16384" width="15.6" style="5"/>
  </cols>
  <sheetData>
    <row r="1" ht="57" customHeight="1" spans="1:17">
      <c r="A1" s="7" t="s">
        <v>31</v>
      </c>
      <c r="B1" s="7"/>
      <c r="C1" s="7"/>
      <c r="D1" s="7"/>
      <c r="E1" s="7"/>
      <c r="F1" s="7"/>
      <c r="G1" s="7"/>
      <c r="H1" s="8"/>
      <c r="I1" s="8"/>
      <c r="J1" s="7"/>
      <c r="K1" s="9"/>
      <c r="L1" s="9"/>
      <c r="M1" s="9"/>
      <c r="N1" s="9"/>
      <c r="O1" s="9"/>
      <c r="P1" s="9"/>
      <c r="Q1" s="9"/>
    </row>
    <row r="2" customHeight="1" spans="1:17">
      <c r="A2" s="10" t="s">
        <v>32</v>
      </c>
      <c r="B2" s="10" t="s">
        <v>33</v>
      </c>
      <c r="C2" s="10" t="s">
        <v>34</v>
      </c>
      <c r="D2" s="10" t="s">
        <v>13</v>
      </c>
      <c r="E2" s="10" t="s">
        <v>35</v>
      </c>
      <c r="F2" s="11" t="s">
        <v>36</v>
      </c>
      <c r="G2" s="11" t="s">
        <v>37</v>
      </c>
      <c r="H2" s="12" t="s">
        <v>3</v>
      </c>
      <c r="I2" s="13" t="s">
        <v>5</v>
      </c>
      <c r="J2" s="14" t="s">
        <v>38</v>
      </c>
    </row>
    <row r="3" ht="80" customHeight="1" spans="1:17">
      <c r="A3" s="15" t="str">
        <f>[1]首熙202502!A7</f>
        <v>用户号：0950000088133431</v>
      </c>
      <c r="B3" s="16" t="str">
        <f>[1]供电局抄表记录2月!A3</f>
        <v>0950050038124235</v>
      </c>
      <c r="C3" s="17" t="str">
        <f>[1]供电局抄表记录2月!B3</f>
        <v>09001SF00000042207348994</v>
      </c>
      <c r="D3" s="16" t="str">
        <f>[1]供电局抄表记录2月!A4</f>
        <v>0950050038441846</v>
      </c>
      <c r="E3" s="17" t="str">
        <f>[1]供电局抄表记录2月!B4</f>
        <v>09001SG00000062105025931</v>
      </c>
      <c r="F3" s="17">
        <f>首熙20261月!G8</f>
        <v>19741</v>
      </c>
      <c r="G3" s="17">
        <f>首熙20261月!M8</f>
        <v>12582</v>
      </c>
      <c r="H3" s="18">
        <f>首熙20261月!N8</f>
        <v>7153.00000000001</v>
      </c>
      <c r="I3" s="18">
        <f>首熙20261月!N9</f>
        <v>6118.757663375</v>
      </c>
      <c r="J3" s="17"/>
    </row>
  </sheetData>
  <mergeCells count="1">
    <mergeCell ref="A1:J1"/>
  </mergeCells>
  <pageMargins left="0.314583333333333" right="0.145138888888889" top="0.724305555555556" bottom="0.747916666666667" header="0.314583333333333" footer="0.314583333333333"/>
  <pageSetup paperSize="9" scale="42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首熙20261月</vt:lpstr>
      <vt:lpstr>每月汇总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WPS_1546503816</cp:lastModifiedBy>
  <dcterms:created xsi:type="dcterms:W3CDTF">2008-09-11T17:22:00Z</dcterms:created>
  <cp:lastPrinted>2022-11-14T05:54:00Z</cp:lastPrinted>
  <dcterms:modified xsi:type="dcterms:W3CDTF">2026-02-28T04:06:22Z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A975AAB170BD4E0C8D04F584603BDAC6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