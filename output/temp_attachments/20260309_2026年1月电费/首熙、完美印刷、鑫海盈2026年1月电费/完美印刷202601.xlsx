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225"/>
  </bookViews>
  <sheets>
    <sheet name="完美印刷202601" sheetId="76" r:id="rId1"/>
    <sheet name="每月汇总" sheetId="77" r:id="rId2"/>
  </sheets>
  <externalReferences>
    <externalReference r:id="rId3"/>
  </externalReferences>
  <definedNames>
    <definedName name="_xlnm.Print_Area" localSheetId="1">每月汇总!$A$1:$J$3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<sst xmlns="http://schemas.openxmlformats.org/spreadsheetml/2006/main" count="45" uniqueCount="37">
  <si>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深圳市完美印象印刷有限公司1月电费单</t>
  </si>
  <si>
    <t>正向数据</t>
  </si>
  <si>
    <t>反向数据</t>
  </si>
  <si>
    <t>实际用电数</t>
  </si>
  <si>
    <t>电价</t>
  </si>
  <si>
    <t>金额</t>
  </si>
  <si>
    <t>用电户号0950000047355990</t>
  </si>
  <si>
    <t>电表号</t>
  </si>
  <si>
    <t>类别</t>
  </si>
  <si>
    <t>上月表数</t>
  </si>
  <si>
    <t>本月表数</t>
  </si>
  <si>
    <t>电表用理</t>
  </si>
  <si>
    <t>倍率</t>
  </si>
  <si>
    <t>用电量</t>
  </si>
  <si>
    <t>上网表号</t>
  </si>
  <si>
    <t>资产号09001SF0000042207348996</t>
  </si>
  <si>
    <t>正有功尖峰1</t>
  </si>
  <si>
    <t>0950050038441905</t>
  </si>
  <si>
    <t>上网电表：0950050038441905</t>
  </si>
  <si>
    <t>发电0950050038124222</t>
  </si>
  <si>
    <t>正有功峰2</t>
  </si>
  <si>
    <t>上网电表资产表：09001SF00000042107007791</t>
  </si>
  <si>
    <t>正有功平</t>
  </si>
  <si>
    <t>发电表号：0950050038124222</t>
  </si>
  <si>
    <r>
      <rPr>
        <b/>
        <sz val="11"/>
        <color theme="1"/>
        <rFont val="宋体"/>
        <charset val="134"/>
      </rPr>
      <t>用户号：</t>
    </r>
    <r>
      <rPr>
        <b/>
        <sz val="11"/>
        <color theme="1"/>
        <rFont val="Tahoma"/>
        <charset val="134"/>
      </rPr>
      <t>0950000047355990</t>
    </r>
  </si>
  <si>
    <t>正有功谷</t>
  </si>
  <si>
    <t>发电资产号09001SF0000042207348996</t>
  </si>
  <si>
    <t>正有功总</t>
  </si>
  <si>
    <r>
      <rPr>
        <sz val="11"/>
        <color theme="1"/>
        <rFont val="Tahoma"/>
        <charset val="134"/>
      </rPr>
      <t>9.8</t>
    </r>
    <r>
      <rPr>
        <sz val="11"/>
        <color theme="1"/>
        <rFont val="宋体"/>
        <charset val="134"/>
      </rPr>
      <t>折，折后</t>
    </r>
  </si>
  <si>
    <t>2026年1月深圳市完美印象印刷有限公司电费单</t>
  </si>
  <si>
    <t>用户号</t>
  </si>
  <si>
    <t>发电表号</t>
  </si>
  <si>
    <t>发电表资产编号</t>
  </si>
  <si>
    <t>上网表资产号</t>
  </si>
  <si>
    <t>发电量</t>
  </si>
  <si>
    <t>上网电量</t>
  </si>
  <si>
    <t>上网费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</si>
</sst>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</numFmts>
  <fonts count="48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rgb="FF0070C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7" borderId="11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7" borderId="12" applyNumberFormat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36" fillId="7" borderId="11" applyNumberFormat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35" fillId="7" borderId="12" applyNumberFormat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36" fillId="7" borderId="11" applyNumberForma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2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43" fillId="8" borderId="13" applyNumberFormat="0" applyAlignment="0" applyProtection="0">
      <alignment vertical="center"/>
    </xf>
    <xf numFmtId="0" fontId="43" fillId="8" borderId="13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6" fillId="6" borderId="11" applyNumberFormat="0" applyAlignment="0" applyProtection="0">
      <alignment vertical="center"/>
    </xf>
    <xf numFmtId="0" fontId="46" fillId="6" borderId="11" applyNumberFormat="0" applyAlignment="0" applyProtection="0">
      <alignment vertical="center"/>
    </xf>
    <xf numFmtId="0" fontId="15" fillId="5" borderId="8" applyNumberFormat="0" applyFont="0" applyAlignment="0" applyProtection="0">
      <alignment vertical="center"/>
    </xf>
    <xf numFmtId="0" fontId="15" fillId="5" borderId="8" applyNumberFormat="0" applyFont="0" applyAlignment="0" applyProtection="0">
      <alignment vertical="center"/>
    </xf>
  </cellStyleXfs>
  <cellXfs count="43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4" borderId="7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176" fontId="0" fillId="3" borderId="2" xfId="0" applyNumberFormat="1" applyFont="1" applyFill="1" applyBorder="1" applyAlignment="1">
      <alignment horizontal="center" vertical="center" wrapText="1"/>
    </xf>
    <xf numFmtId="177" fontId="1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3" borderId="2" xfId="0" applyFont="1" applyFill="1" applyBorder="1" applyAlignment="1">
      <alignment horizont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176" fontId="0" fillId="0" borderId="2" xfId="0" applyNumberFormat="1" applyFont="1" applyBorder="1" applyAlignment="1">
      <alignment horizontal="center"/>
    </xf>
    <xf numFmtId="0" fontId="14" fillId="3" borderId="2" xfId="0" applyFont="1" applyFill="1" applyBorder="1" applyAlignment="1" quotePrefix="1">
      <alignment horizontal="center" wrapText="1"/>
    </xf>
    <xf numFmtId="0" fontId="6" fillId="0" borderId="2" xfId="0" applyFont="1" applyFill="1" applyBorder="1" applyAlignment="1" quotePrefix="1">
      <alignment horizontal="center" vertical="center" wrapText="1"/>
    </xf>
    <xf numFmtId="0" fontId="6" fillId="0" borderId="2" xfId="0" applyFont="1" applyFill="1" applyBorder="1" applyAlignment="1" quotePrefix="1">
      <alignment horizontal="center" vertical="center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648;&#33021;&#12289;&#30005;&#36153;&#27599;&#26376;&#32479;&#35745;\&#23436;&#32654;&#21360;&#21047;\2025&#24180;12&#26376;\&#23436;&#32654;&#21360;&#21047;202512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完美印刷202502 (2)"/>
      <sheetName val="供电局抄表记录202502"/>
      <sheetName val="完美印刷202503"/>
      <sheetName val="完美印刷202504 (2)"/>
      <sheetName val="完美印刷202505"/>
      <sheetName val="供电局抄表记录202503"/>
      <sheetName val="完美印刷202506 (2)"/>
      <sheetName val="完美印刷202507"/>
      <sheetName val="完美印刷202508"/>
      <sheetName val="完美印刷202509"/>
      <sheetName val="完美印刷202510"/>
      <sheetName val="完美印刷202511)"/>
      <sheetName val="完美印刷202512"/>
      <sheetName val="每月汇总"/>
    </sheetNames>
    <sheetDataSet>
      <sheetData sheetId="0">
        <row r="7">
          <cell r="A7" t="str">
            <v>用户号：0950000047355990</v>
          </cell>
        </row>
      </sheetData>
      <sheetData sheetId="1">
        <row r="3">
          <cell r="A3" t="str">
            <v>0950050038124222</v>
          </cell>
          <cell r="B3" t="str">
            <v>09001SF00000042207348996</v>
          </cell>
        </row>
        <row r="4">
          <cell r="A4" t="str">
            <v>0950050038441905</v>
          </cell>
          <cell r="B4" t="str">
            <v>09001SF00000042107007791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zoomScale="83" zoomScaleNormal="83" workbookViewId="0">
      <selection activeCell="N7" sqref="N7"/>
    </sheetView>
  </sheetViews>
  <sheetFormatPr defaultColWidth="15.6" defaultRowHeight="27.75" customHeight="1"/>
  <cols>
    <col min="1" max="1" width="6.75833333333333" customWidth="1"/>
    <col min="2" max="2" width="7.79166666666667" customWidth="1"/>
    <col min="3" max="3" width="7.5" customWidth="1"/>
    <col min="4" max="4" width="10.15" customWidth="1"/>
    <col min="5" max="5" width="8.525" customWidth="1"/>
    <col min="6" max="6" width="6.46666666666667" customWidth="1"/>
    <col min="7" max="7" width="15.15" customWidth="1"/>
    <col min="8" max="8" width="9.125" customWidth="1"/>
    <col min="9" max="10" width="7.93333333333333" customWidth="1"/>
    <col min="11" max="11" width="9.10833333333333" customWidth="1"/>
    <col min="12" max="12" width="7.93333333333333" customWidth="1"/>
    <col min="13" max="13" width="9.70833333333333" customWidth="1"/>
    <col min="14" max="14" width="12.65" customWidth="1"/>
    <col min="15" max="15" width="11.9083333333333" customWidth="1"/>
    <col min="16" max="16" width="11.7583333333333" customWidth="1"/>
    <col min="17" max="17" width="38.0833333333333" customWidth="1"/>
  </cols>
  <sheetData>
    <row r="1" ht="24" customHeight="1" spans="1:17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30" customHeight="1" spans="1:17">
      <c r="A2" s="20" t="s">
        <v>1</v>
      </c>
      <c r="B2" s="20"/>
      <c r="C2" s="20"/>
      <c r="D2" s="20"/>
      <c r="E2" s="20"/>
      <c r="F2" s="20"/>
      <c r="G2" s="20"/>
      <c r="H2" s="20"/>
      <c r="I2" s="21" t="s">
        <v>2</v>
      </c>
      <c r="J2" s="22"/>
      <c r="K2" s="22"/>
      <c r="L2" s="22"/>
      <c r="M2" s="23"/>
      <c r="N2" s="24" t="s">
        <v>3</v>
      </c>
      <c r="O2" s="25" t="s">
        <v>4</v>
      </c>
      <c r="P2" s="26" t="s">
        <v>5</v>
      </c>
      <c r="Q2" s="27" t="s">
        <v>6</v>
      </c>
    </row>
    <row r="3" ht="62" customHeight="1" spans="1:17">
      <c r="A3" s="28" t="s">
        <v>7</v>
      </c>
      <c r="B3" s="29" t="s">
        <v>8</v>
      </c>
      <c r="C3" s="29" t="s">
        <v>9</v>
      </c>
      <c r="D3" s="29" t="s">
        <v>10</v>
      </c>
      <c r="E3" s="29" t="s">
        <v>11</v>
      </c>
      <c r="F3" s="29" t="s">
        <v>12</v>
      </c>
      <c r="G3" s="29" t="s">
        <v>13</v>
      </c>
      <c r="H3" s="26" t="s">
        <v>14</v>
      </c>
      <c r="I3" s="29" t="s">
        <v>9</v>
      </c>
      <c r="J3" s="29" t="s">
        <v>10</v>
      </c>
      <c r="K3" s="29" t="s">
        <v>11</v>
      </c>
      <c r="L3" s="29" t="s">
        <v>12</v>
      </c>
      <c r="M3" s="29" t="s">
        <v>13</v>
      </c>
      <c r="N3" s="30"/>
      <c r="O3" s="25"/>
      <c r="P3" s="26"/>
      <c r="Q3" s="27"/>
    </row>
    <row r="4" ht="84" customHeight="1" spans="1:17">
      <c r="A4" s="31" t="s">
        <v>15</v>
      </c>
      <c r="B4" s="31" t="s">
        <v>16</v>
      </c>
      <c r="C4" s="32">
        <v>508.78</v>
      </c>
      <c r="D4" s="32">
        <v>555.05</v>
      </c>
      <c r="E4" s="33">
        <f t="shared" ref="E4:E8" si="0">D4-C4</f>
        <v>46.27</v>
      </c>
      <c r="F4" s="33">
        <v>40</v>
      </c>
      <c r="G4" s="33">
        <f t="shared" ref="G4:G8" si="1">E4*F4</f>
        <v>1850.8</v>
      </c>
      <c r="H4" s="34" t="s">
        <v>17</v>
      </c>
      <c r="I4" s="32">
        <v>784.42</v>
      </c>
      <c r="J4" s="32">
        <v>860.6</v>
      </c>
      <c r="K4" s="33">
        <f t="shared" ref="K4:K8" si="2">J4-I4</f>
        <v>76.1800000000001</v>
      </c>
      <c r="L4" s="33">
        <v>20</v>
      </c>
      <c r="M4" s="35">
        <f t="shared" ref="M4:M8" si="3">K4*L4</f>
        <v>1523.6</v>
      </c>
      <c r="N4" s="35">
        <f t="shared" ref="N4:N8" si="4">G4-M4</f>
        <v>327.199999999998</v>
      </c>
      <c r="O4" s="36">
        <v>0.95786875</v>
      </c>
      <c r="P4" s="35">
        <f t="shared" ref="P4:P7" si="5">N4*O4</f>
        <v>313.414654999998</v>
      </c>
      <c r="Q4" s="37" t="s">
        <v>18</v>
      </c>
    </row>
    <row r="5" ht="64" customHeight="1" spans="1:17">
      <c r="A5" s="31" t="s">
        <v>19</v>
      </c>
      <c r="B5" s="31" t="s">
        <v>20</v>
      </c>
      <c r="C5" s="32">
        <v>475.85</v>
      </c>
      <c r="D5" s="32">
        <v>518.43</v>
      </c>
      <c r="E5" s="33">
        <f t="shared" si="0"/>
        <v>42.5799999999999</v>
      </c>
      <c r="F5" s="33">
        <v>40</v>
      </c>
      <c r="G5" s="33">
        <f t="shared" si="1"/>
        <v>1703.2</v>
      </c>
      <c r="H5" s="34"/>
      <c r="I5" s="32">
        <v>740.48</v>
      </c>
      <c r="J5" s="32">
        <v>814.04</v>
      </c>
      <c r="K5" s="33">
        <f t="shared" si="2"/>
        <v>73.5599999999999</v>
      </c>
      <c r="L5" s="33">
        <v>20</v>
      </c>
      <c r="M5" s="35">
        <f t="shared" si="3"/>
        <v>1471.2</v>
      </c>
      <c r="N5" s="35">
        <f t="shared" si="4"/>
        <v>231.999999999998</v>
      </c>
      <c r="O5" s="36">
        <v>0.95786875</v>
      </c>
      <c r="P5" s="35">
        <f t="shared" si="5"/>
        <v>222.225549999998</v>
      </c>
      <c r="Q5" s="38" t="s">
        <v>21</v>
      </c>
    </row>
    <row r="6" ht="62" customHeight="1" spans="1:17">
      <c r="A6" s="31"/>
      <c r="B6" s="31" t="s">
        <v>22</v>
      </c>
      <c r="C6" s="32">
        <v>808.67</v>
      </c>
      <c r="D6" s="32">
        <v>878.15</v>
      </c>
      <c r="E6" s="33">
        <f t="shared" si="0"/>
        <v>69.48</v>
      </c>
      <c r="F6" s="33">
        <v>40</v>
      </c>
      <c r="G6" s="33">
        <f t="shared" si="1"/>
        <v>2779.2</v>
      </c>
      <c r="H6" s="34"/>
      <c r="I6" s="32">
        <v>1380.34</v>
      </c>
      <c r="J6" s="32">
        <v>1507.01</v>
      </c>
      <c r="K6" s="33">
        <f t="shared" si="2"/>
        <v>126.67</v>
      </c>
      <c r="L6" s="33">
        <v>20</v>
      </c>
      <c r="M6" s="35">
        <f t="shared" si="3"/>
        <v>2533.4</v>
      </c>
      <c r="N6" s="35">
        <f t="shared" si="4"/>
        <v>245.799999999999</v>
      </c>
      <c r="O6" s="36">
        <v>0.71406875</v>
      </c>
      <c r="P6" s="35">
        <f t="shared" si="5"/>
        <v>175.518098749999</v>
      </c>
      <c r="Q6" s="37" t="s">
        <v>23</v>
      </c>
    </row>
    <row r="7" ht="62" customHeight="1" spans="1:17">
      <c r="A7" s="43" t="s">
        <v>24</v>
      </c>
      <c r="B7" s="31" t="s">
        <v>25</v>
      </c>
      <c r="C7" s="32">
        <v>63.97</v>
      </c>
      <c r="D7" s="32">
        <v>65.12</v>
      </c>
      <c r="E7" s="33">
        <f t="shared" si="0"/>
        <v>1.15000000000001</v>
      </c>
      <c r="F7" s="33">
        <v>40</v>
      </c>
      <c r="G7" s="33">
        <f t="shared" si="1"/>
        <v>46.0000000000002</v>
      </c>
      <c r="H7" s="34"/>
      <c r="I7" s="32">
        <v>93.9</v>
      </c>
      <c r="J7" s="32">
        <v>95.48</v>
      </c>
      <c r="K7" s="33">
        <f t="shared" si="2"/>
        <v>1.58</v>
      </c>
      <c r="L7" s="33">
        <v>20</v>
      </c>
      <c r="M7" s="35">
        <f t="shared" si="3"/>
        <v>31.6</v>
      </c>
      <c r="N7" s="35">
        <f t="shared" si="4"/>
        <v>14.4000000000003</v>
      </c>
      <c r="O7" s="36">
        <v>0.22636875</v>
      </c>
      <c r="P7" s="35">
        <f t="shared" si="5"/>
        <v>3.25971000000006</v>
      </c>
      <c r="Q7" s="37" t="s">
        <v>26</v>
      </c>
    </row>
    <row r="8" ht="62" customHeight="1" spans="1:17">
      <c r="A8" s="39"/>
      <c r="B8" s="31" t="s">
        <v>27</v>
      </c>
      <c r="C8" s="32">
        <v>1857.29</v>
      </c>
      <c r="D8" s="32">
        <v>2016.76</v>
      </c>
      <c r="E8" s="33">
        <f t="shared" si="0"/>
        <v>159.47</v>
      </c>
      <c r="F8" s="33">
        <v>40</v>
      </c>
      <c r="G8" s="33">
        <f t="shared" si="1"/>
        <v>6378.8</v>
      </c>
      <c r="H8" s="34"/>
      <c r="I8" s="32">
        <v>2999.15</v>
      </c>
      <c r="J8" s="32">
        <v>3277.15</v>
      </c>
      <c r="K8" s="33">
        <f t="shared" si="2"/>
        <v>278</v>
      </c>
      <c r="L8" s="33">
        <v>20</v>
      </c>
      <c r="M8" s="35">
        <f t="shared" si="3"/>
        <v>5560</v>
      </c>
      <c r="N8" s="35">
        <f t="shared" si="4"/>
        <v>818.800000000001</v>
      </c>
      <c r="O8" s="40"/>
      <c r="P8" s="35">
        <f>SUM(P4:P7)</f>
        <v>714.418013749996</v>
      </c>
      <c r="Q8" s="37"/>
    </row>
    <row r="9" ht="28" customHeight="1" spans="1:17">
      <c r="A9" s="41" t="s">
        <v>28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>
        <f>P8*0.98</f>
        <v>700.129653474996</v>
      </c>
      <c r="O9" s="42"/>
      <c r="P9" s="42"/>
    </row>
  </sheetData>
  <mergeCells count="12">
    <mergeCell ref="A1:P1"/>
    <mergeCell ref="A2:G2"/>
    <mergeCell ref="I2:M2"/>
    <mergeCell ref="A9:M9"/>
    <mergeCell ref="N9:P9"/>
    <mergeCell ref="A5:A6"/>
    <mergeCell ref="A7:A8"/>
    <mergeCell ref="H4:H7"/>
    <mergeCell ref="N2:N3"/>
    <mergeCell ref="O2:O3"/>
    <mergeCell ref="P2:P3"/>
    <mergeCell ref="Q2:Q3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view="pageBreakPreview" zoomScale="40" zoomScaleNormal="85" workbookViewId="0">
      <selection activeCell="M19" sqref="M19"/>
    </sheetView>
  </sheetViews>
  <sheetFormatPr defaultColWidth="15.6" defaultRowHeight="27.75" customHeight="1" outlineLevelRow="2"/>
  <cols>
    <col min="1" max="1" width="27.725" style="1" customWidth="1"/>
    <col min="2" max="2" width="29.0833333333333" style="1" customWidth="1"/>
    <col min="3" max="3" width="40.2166666666667" style="2" customWidth="1"/>
    <col min="4" max="4" width="28.8666666666667" style="1" customWidth="1"/>
    <col min="5" max="5" width="40.225" style="2" customWidth="1"/>
    <col min="6" max="6" width="15.7083333333333" style="2" customWidth="1"/>
    <col min="7" max="7" width="13.3833333333333" style="2" customWidth="1"/>
    <col min="8" max="8" width="19.5416666666667" style="3" customWidth="1"/>
    <col min="9" max="9" width="19.6416666666667" style="3" customWidth="1"/>
    <col min="10" max="10" width="14.45" style="2" customWidth="1"/>
    <col min="11" max="11" width="7.93333333333333" style="4" customWidth="1"/>
    <col min="12" max="12" width="9.40833333333333" style="5" customWidth="1"/>
    <col min="13" max="13" width="9.55833333333333" style="5" customWidth="1"/>
    <col min="14" max="14" width="11.25" style="6" customWidth="1"/>
    <col min="15" max="15" width="11.0583333333333" style="4" customWidth="1"/>
    <col min="16" max="16" width="12.1416666666667" style="5" customWidth="1"/>
    <col min="17" max="17" width="13.75" style="5" customWidth="1"/>
    <col min="18" max="16384" width="15.6" style="5"/>
  </cols>
  <sheetData>
    <row r="1" ht="57" customHeight="1" spans="1:17">
      <c r="A1" s="7" t="s">
        <v>29</v>
      </c>
      <c r="B1" s="7"/>
      <c r="C1" s="7"/>
      <c r="D1" s="7"/>
      <c r="E1" s="7"/>
      <c r="F1" s="7"/>
      <c r="G1" s="7"/>
      <c r="H1" s="8"/>
      <c r="I1" s="8"/>
      <c r="J1" s="7"/>
      <c r="K1" s="9"/>
      <c r="L1" s="9"/>
      <c r="M1" s="9"/>
      <c r="N1" s="9"/>
      <c r="O1" s="9"/>
      <c r="P1" s="9"/>
      <c r="Q1" s="9"/>
    </row>
    <row r="2" customHeight="1" spans="1:17">
      <c r="A2" s="10" t="s">
        <v>30</v>
      </c>
      <c r="B2" s="10" t="s">
        <v>31</v>
      </c>
      <c r="C2" s="10" t="s">
        <v>32</v>
      </c>
      <c r="D2" s="10" t="s">
        <v>14</v>
      </c>
      <c r="E2" s="10" t="s">
        <v>33</v>
      </c>
      <c r="F2" s="11" t="s">
        <v>34</v>
      </c>
      <c r="G2" s="11" t="s">
        <v>35</v>
      </c>
      <c r="H2" s="12" t="s">
        <v>3</v>
      </c>
      <c r="I2" s="13" t="s">
        <v>5</v>
      </c>
      <c r="J2" s="14" t="s">
        <v>36</v>
      </c>
    </row>
    <row r="3" ht="80" customHeight="1" spans="1:17">
      <c r="A3" s="44" t="str">
        <f>'[1]完美印刷202502 (2)'!A7</f>
        <v>用户号：0950000047355990</v>
      </c>
      <c r="B3" s="15" t="str">
        <f>[1]供电局抄表记录202502!A3</f>
        <v>0950050038124222</v>
      </c>
      <c r="C3" s="16" t="str">
        <f>[1]供电局抄表记录202502!B3</f>
        <v>09001SF00000042207348996</v>
      </c>
      <c r="D3" s="45" t="str">
        <f>[1]供电局抄表记录202502!A4</f>
        <v>0950050038441905</v>
      </c>
      <c r="E3" s="16" t="str">
        <f>[1]供电局抄表记录202502!B4</f>
        <v>09001SF00000042107007791</v>
      </c>
      <c r="F3" s="16">
        <f>完美印刷202601!G8</f>
        <v>6378.8</v>
      </c>
      <c r="G3" s="16">
        <f>完美印刷202601!M8</f>
        <v>5560</v>
      </c>
      <c r="H3" s="18">
        <f>完美印刷202601!N8</f>
        <v>818.800000000001</v>
      </c>
      <c r="I3" s="18">
        <f>完美印刷202601!N9</f>
        <v>700.129653474996</v>
      </c>
      <c r="J3" s="16"/>
    </row>
  </sheetData>
  <mergeCells count="1">
    <mergeCell ref="A1:J1"/>
  </mergeCells>
  <pageMargins left="0.314583333333333" right="0.145138888888889" top="0.724305555555556" bottom="0.747916666666667" header="0.314583333333333" footer="0.314583333333333"/>
  <pageSetup paperSize="9" scale="4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完美印刷202601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WPS_1546503816</cp:lastModifiedBy>
  <dcterms:created xsi:type="dcterms:W3CDTF">2008-09-11T17:22:00Z</dcterms:created>
  <cp:lastPrinted>2022-11-14T05:54:00Z</cp:lastPrinted>
  <dcterms:modified xsi:type="dcterms:W3CDTF">2026-02-28T03:55:55Z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240B7F1075C442A9AFA07F6653D479B2_13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