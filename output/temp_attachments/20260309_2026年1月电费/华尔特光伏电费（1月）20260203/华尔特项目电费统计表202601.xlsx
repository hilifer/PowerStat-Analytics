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firstSheet="7" activeTab="1"/>
  </bookViews>
  <sheets>
    <sheet name="202601" sheetId="78" r:id="rId1"/>
    <sheet name="每月汇总" sheetId="79" r:id="rId2"/>
  </sheets>
  <definedNames>
    <definedName name="_xlnm.Print_Area" localSheetId="0">'202601'!$A$1:$Q$40</definedName>
    <definedName name="_xlnm.Print_Area" localSheetId="1">每月汇总!$A$1:$J$62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<sst xmlns="http://schemas.openxmlformats.org/spreadsheetml/2006/main" count="172" uniqueCount="63">
  <si>
    <t>华尔特工业园光伏项目发电统计表（2026年1月）</t>
  </si>
  <si>
    <t>正向数据（发电量）</t>
  </si>
  <si>
    <t>反向数据（上网电量）</t>
  </si>
  <si>
    <r>
      <rPr>
        <sz val="11"/>
        <color theme="1"/>
        <rFont val="宋体"/>
        <charset val="134"/>
      </rPr>
      <t>自发用电量/金额</t>
    </r>
    <r>
      <rPr>
        <sz val="11"/>
        <color theme="1"/>
        <rFont val="Tahoma"/>
        <charset val="134"/>
      </rPr>
      <t xml:space="preserve"> </t>
    </r>
  </si>
  <si>
    <t>类别</t>
  </si>
  <si>
    <t>上月表数</t>
  </si>
  <si>
    <t>本月表数</t>
  </si>
  <si>
    <t>电表用理</t>
  </si>
  <si>
    <t>倍率</t>
  </si>
  <si>
    <t>发电量</t>
  </si>
  <si>
    <t>上网电量</t>
  </si>
  <si>
    <t>实际用电数</t>
  </si>
  <si>
    <t>原电价</t>
  </si>
  <si>
    <t>优惠后电价</t>
  </si>
  <si>
    <t>金额</t>
  </si>
  <si>
    <t>用户号</t>
  </si>
  <si>
    <t>0948030028524999</t>
  </si>
  <si>
    <t>正有功尖峰</t>
  </si>
  <si>
    <t>发电表号</t>
  </si>
  <si>
    <t>0948030041968361</t>
  </si>
  <si>
    <t>正有功峰</t>
  </si>
  <si>
    <t>发电表资产编号</t>
  </si>
  <si>
    <t>09001SF00000042408595673</t>
  </si>
  <si>
    <t>正有功平</t>
  </si>
  <si>
    <t>上网表号</t>
  </si>
  <si>
    <t>0948030042077031</t>
  </si>
  <si>
    <t>正有功谷</t>
  </si>
  <si>
    <t>上网表资产号</t>
  </si>
  <si>
    <t>09001SF00000042207356623</t>
  </si>
  <si>
    <t>正有功总</t>
  </si>
  <si>
    <r>
      <rPr>
        <sz val="11"/>
        <color theme="1"/>
        <rFont val="宋体"/>
        <charset val="134"/>
      </rPr>
      <t>联系电话：</t>
    </r>
    <r>
      <rPr>
        <sz val="11"/>
        <color theme="1"/>
        <rFont val="Tahoma"/>
        <charset val="134"/>
      </rPr>
      <t>18938973683</t>
    </r>
  </si>
  <si>
    <t>制作：</t>
  </si>
  <si>
    <t>曹贤奎</t>
  </si>
  <si>
    <t>0948030028524986</t>
  </si>
  <si>
    <t>0948030041968260</t>
  </si>
  <si>
    <t>09001SF00000042408595672</t>
  </si>
  <si>
    <t>0948030041991233</t>
  </si>
  <si>
    <t>09001SF00000042207356622</t>
  </si>
  <si>
    <t>0948030027271533</t>
  </si>
  <si>
    <t>0948030041968273</t>
  </si>
  <si>
    <t>09001SF00000042408595704</t>
  </si>
  <si>
    <t>0948030042119702</t>
  </si>
  <si>
    <t>09001SF00000042207356625</t>
  </si>
  <si>
    <t>0948030027271344</t>
  </si>
  <si>
    <t>宿舍</t>
  </si>
  <si>
    <t>0948030041302226</t>
  </si>
  <si>
    <t>09001SF00000042408595705</t>
  </si>
  <si>
    <t>0948030041991350</t>
  </si>
  <si>
    <t>09001SF00000042207356624</t>
  </si>
  <si>
    <t>华尔特工业园光伏项目发电2026年1月统计表</t>
  </si>
  <si>
    <t>上网费</t>
  </si>
  <si>
    <t>合计</t>
  </si>
  <si>
    <t>华尔特工业园光伏项目发电2026年2月统计表</t>
  </si>
  <si>
    <t>华尔特工业园光伏项目发电2026年3月统计表</t>
  </si>
  <si>
    <t>华尔特工业园光伏项目发电2026年4月统计表</t>
  </si>
  <si>
    <t>华尔特工业园光伏项目发电2026年5月统计表</t>
  </si>
  <si>
    <t>华尔特工业园光伏项目发电2026年6月统计表</t>
  </si>
  <si>
    <t>华尔特工业园光伏项目发电2026年7月统计表</t>
  </si>
  <si>
    <t>华尔特工业园光伏项目发电2026年8月统计表</t>
  </si>
  <si>
    <t>华尔特工业园光伏项目发电2026年9月统计表</t>
  </si>
  <si>
    <t>华尔特工业园光伏项目发电2026年10月统计表</t>
  </si>
  <si>
    <t>华尔特工业园光伏项目发电2026年11月统计表</t>
  </si>
  <si>
    <t>华尔特工业园光伏项目发电2026年12月统计表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</si>
</sst>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0_ "/>
  </numFmts>
  <fonts count="49">
    <font>
      <sz val="11"/>
      <color theme="1"/>
      <name val="Tahoma"/>
      <charset val="134"/>
    </font>
    <font>
      <sz val="11"/>
      <name val="Tahoma"/>
      <charset val="134"/>
    </font>
    <font>
      <sz val="11"/>
      <color rgb="FFFF0000"/>
      <name val="Tahoma"/>
      <charset val="134"/>
    </font>
    <font>
      <b/>
      <sz val="20"/>
      <name val="宋体"/>
      <charset val="134"/>
    </font>
    <font>
      <sz val="16"/>
      <color theme="1"/>
      <name val="宋体"/>
      <charset val="134"/>
    </font>
    <font>
      <sz val="16"/>
      <name val="宋体"/>
      <charset val="134"/>
    </font>
    <font>
      <sz val="16"/>
      <color theme="1"/>
      <name val="Tahoma"/>
      <charset val="134"/>
    </font>
    <font>
      <sz val="16"/>
      <name val="Tahoma"/>
      <charset val="134"/>
    </font>
    <font>
      <sz val="16"/>
      <color rgb="FFFF0000"/>
      <name val="Tahoma"/>
      <charset val="134"/>
    </font>
    <font>
      <b/>
      <sz val="20"/>
      <color rgb="FFFF000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sz val="11"/>
      <color rgb="FF0070C0"/>
      <name val="Tahoma"/>
      <charset val="134"/>
    </font>
    <font>
      <sz val="11"/>
      <color rgb="FFFF0000"/>
      <name val="宋体"/>
      <charset val="134"/>
    </font>
    <font>
      <b/>
      <sz val="11"/>
      <color rgb="FF0070C0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31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6" borderId="11" applyNumberFormat="0" applyAlignment="0" applyProtection="0">
      <alignment vertical="center"/>
    </xf>
    <xf numFmtId="0" fontId="28" fillId="6" borderId="10" applyNumberFormat="0" applyAlignment="0" applyProtection="0">
      <alignment vertical="center"/>
    </xf>
    <xf numFmtId="0" fontId="29" fillId="7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7" fillId="6" borderId="11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8" fillId="6" borderId="10" applyNumberFormat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37" fillId="6" borderId="11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8" fillId="6" borderId="10" applyNumberFormat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45" fillId="7" borderId="12" applyNumberFormat="0" applyAlignment="0" applyProtection="0">
      <alignment vertical="center"/>
    </xf>
    <xf numFmtId="0" fontId="45" fillId="7" borderId="12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8" fillId="5" borderId="10" applyNumberFormat="0" applyAlignment="0" applyProtection="0">
      <alignment vertical="center"/>
    </xf>
    <xf numFmtId="0" fontId="48" fillId="5" borderId="10" applyNumberFormat="0" applyAlignment="0" applyProtection="0">
      <alignment vertical="center"/>
    </xf>
    <xf numFmtId="0" fontId="17" fillId="4" borderId="7" applyNumberFormat="0" applyFont="0" applyAlignment="0" applyProtection="0">
      <alignment vertical="center"/>
    </xf>
    <xf numFmtId="0" fontId="17" fillId="4" borderId="7" applyNumberFormat="0" applyFont="0" applyAlignment="0" applyProtection="0">
      <alignment vertical="center"/>
    </xf>
  </cellStyleXfs>
  <cellXfs count="74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176" fontId="0" fillId="0" borderId="0" xfId="0" applyNumberFormat="1"/>
    <xf numFmtId="176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Border="1"/>
    <xf numFmtId="0" fontId="10" fillId="0" borderId="2" xfId="0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176" fontId="11" fillId="0" borderId="3" xfId="0" applyNumberFormat="1" applyFont="1" applyBorder="1" applyAlignment="1">
      <alignment horizontal="center" vertical="center" wrapText="1"/>
    </xf>
    <xf numFmtId="17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12" fillId="0" borderId="2" xfId="0" applyFont="1" applyBorder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177" fontId="11" fillId="0" borderId="2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/>
    </xf>
    <xf numFmtId="176" fontId="13" fillId="3" borderId="6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3" fillId="3" borderId="6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176" fontId="0" fillId="0" borderId="2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12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17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5" fillId="0" borderId="0" xfId="0" applyFont="1"/>
    <xf numFmtId="0" fontId="11" fillId="0" borderId="1" xfId="0" applyFont="1" applyBorder="1" applyAlignment="1">
      <alignment vertical="center" wrapText="1"/>
    </xf>
    <xf numFmtId="0" fontId="14" fillId="0" borderId="0" xfId="0" applyFont="1"/>
    <xf numFmtId="177" fontId="2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16" fillId="0" borderId="0" xfId="0" applyFont="1"/>
    <xf numFmtId="0" fontId="14" fillId="0" borderId="0" xfId="0" applyFont="1" applyAlignment="1">
      <alignment wrapText="1"/>
    </xf>
    <xf numFmtId="0" fontId="12" fillId="0" borderId="0" xfId="0" applyFont="1" applyBorder="1" applyAlignment="1" quotePrefix="1">
      <alignment vertical="center"/>
    </xf>
    <xf numFmtId="0" fontId="0" fillId="0" borderId="0" xfId="0" applyBorder="1" applyAlignment="1" quotePrefix="1">
      <alignment horizontal="left" vertical="center"/>
    </xf>
    <xf numFmtId="0" fontId="0" fillId="0" borderId="0" xfId="0" quotePrefix="1"/>
    <xf numFmtId="0" fontId="6" fillId="0" borderId="2" xfId="0" applyFont="1" applyFill="1" applyBorder="1" applyAlignment="1" quotePrefix="1">
      <alignment horizontal="center" vertical="center"/>
    </xf>
    <xf numFmtId="0" fontId="6" fillId="0" borderId="2" xfId="0" applyFont="1" applyBorder="1" applyAlignment="1" quotePrefix="1">
      <alignment horizontal="center" vertical="center"/>
    </xf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20% - 强调文字颜色 1 2" xfId="50"/>
    <cellStyle name="计算 2" xfId="51"/>
    <cellStyle name="60% - 强调文字颜色 2 3" xfId="52"/>
    <cellStyle name="40% - 强调文字颜色 4 2" xfId="53"/>
    <cellStyle name="20% - 强调文字颜色 5 3" xfId="54"/>
    <cellStyle name="20% - 强调文字颜色 2 3" xfId="55"/>
    <cellStyle name="40% - 强调文字颜色 1 2" xfId="56"/>
    <cellStyle name="20% - 强调文字颜色 3 3" xfId="57"/>
    <cellStyle name="40% - 强调文字颜色 2 2" xfId="58"/>
    <cellStyle name="链接单元格 3" xfId="59"/>
    <cellStyle name="20% - 强调文字颜色 6 3" xfId="60"/>
    <cellStyle name="输出 2" xfId="61"/>
    <cellStyle name="20% - 强调文字颜色 1 3" xfId="62"/>
    <cellStyle name="计算 3" xfId="63"/>
    <cellStyle name="适中 2" xfId="64"/>
    <cellStyle name="20% - 强调文字颜色 2 2" xfId="65"/>
    <cellStyle name="20% - 强调文字颜色 3 2" xfId="66"/>
    <cellStyle name="20% - 强调文字颜色 4 2" xfId="67"/>
    <cellStyle name="常规 3" xfId="68"/>
    <cellStyle name="20% - 强调文字颜色 4 3" xfId="69"/>
    <cellStyle name="20% - 强调文字颜色 5 2" xfId="70"/>
    <cellStyle name="20% - 强调文字颜色 6 2" xfId="71"/>
    <cellStyle name="40% - 强调文字颜色 1 3" xfId="72"/>
    <cellStyle name="40% - 强调文字颜色 2 3" xfId="73"/>
    <cellStyle name="40% - 强调文字颜色 3 2" xfId="74"/>
    <cellStyle name="40% - 强调文字颜色 3 3" xfId="75"/>
    <cellStyle name="40% - 强调文字颜色 4 3" xfId="76"/>
    <cellStyle name="40% - 强调文字颜色 5 2" xfId="77"/>
    <cellStyle name="40% - 强调文字颜色 5 3" xfId="78"/>
    <cellStyle name="40% - 强调文字颜色 6 2" xfId="79"/>
    <cellStyle name="40% - 强调文字颜色 6 3" xfId="80"/>
    <cellStyle name="60% - 强调文字颜色 1 2" xfId="81"/>
    <cellStyle name="60% - 强调文字颜色 1 3" xfId="82"/>
    <cellStyle name="60% - 强调文字颜色 2 2" xfId="83"/>
    <cellStyle name="60% - 强调文字颜色 3 2" xfId="84"/>
    <cellStyle name="60% - 强调文字颜色 3 3" xfId="85"/>
    <cellStyle name="60% - 强调文字颜色 4 2" xfId="86"/>
    <cellStyle name="60% - 强调文字颜色 4 3" xfId="87"/>
    <cellStyle name="60% - 强调文字颜色 5 2" xfId="88"/>
    <cellStyle name="60% - 强调文字颜色 5 3" xfId="89"/>
    <cellStyle name="60% - 强调文字颜色 6 2" xfId="90"/>
    <cellStyle name="60% - 强调文字颜色 6 3" xfId="91"/>
    <cellStyle name="标题 1 2" xfId="92"/>
    <cellStyle name="标题 1 3" xfId="93"/>
    <cellStyle name="标题 2 2" xfId="94"/>
    <cellStyle name="标题 2 3" xfId="95"/>
    <cellStyle name="标题 3 2" xfId="96"/>
    <cellStyle name="标题 3 3" xfId="97"/>
    <cellStyle name="标题 4 2" xfId="98"/>
    <cellStyle name="标题 4 3" xfId="99"/>
    <cellStyle name="差 2" xfId="100"/>
    <cellStyle name="差 3" xfId="101"/>
    <cellStyle name="好 2" xfId="102"/>
    <cellStyle name="好 3" xfId="103"/>
    <cellStyle name="汇总 2" xfId="104"/>
    <cellStyle name="汇总 3" xfId="105"/>
    <cellStyle name="货币 3" xfId="106"/>
    <cellStyle name="检查单元格 2" xfId="107"/>
    <cellStyle name="检查单元格 3" xfId="108"/>
    <cellStyle name="解释性文本 2" xfId="109"/>
    <cellStyle name="解释性文本 3" xfId="110"/>
    <cellStyle name="警告文本 2" xfId="111"/>
    <cellStyle name="警告文本 3" xfId="112"/>
    <cellStyle name="链接单元格 2" xfId="113"/>
    <cellStyle name="强调文字颜色 1 2" xfId="114"/>
    <cellStyle name="强调文字颜色 1 3" xfId="115"/>
    <cellStyle name="强调文字颜色 2 2" xfId="116"/>
    <cellStyle name="强调文字颜色 2 3" xfId="117"/>
    <cellStyle name="强调文字颜色 3 2" xfId="118"/>
    <cellStyle name="强调文字颜色 3 3" xfId="119"/>
    <cellStyle name="强调文字颜色 4 2" xfId="120"/>
    <cellStyle name="强调文字颜色 4 3" xfId="121"/>
    <cellStyle name="强调文字颜色 5 2" xfId="122"/>
    <cellStyle name="强调文字颜色 5 3" xfId="123"/>
    <cellStyle name="强调文字颜色 6 2" xfId="124"/>
    <cellStyle name="强调文字颜色 6 3" xfId="125"/>
    <cellStyle name="适中 3" xfId="126"/>
    <cellStyle name="输入 2" xfId="127"/>
    <cellStyle name="输入 3" xfId="128"/>
    <cellStyle name="注释 2" xfId="129"/>
    <cellStyle name="注释 3" xfId="130"/>
  </cellStyle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view="pageBreakPreview" zoomScale="85" zoomScaleNormal="85" topLeftCell="A33" workbookViewId="0">
      <selection activeCell="T31" sqref="T31"/>
    </sheetView>
  </sheetViews>
  <sheetFormatPr defaultColWidth="15.6" defaultRowHeight="27.75" customHeight="1"/>
  <cols>
    <col min="1" max="1" width="5" customWidth="1"/>
    <col min="2" max="2" width="11.0583333333333" style="24" customWidth="1"/>
    <col min="3" max="3" width="11.4583333333333" style="25" customWidth="1"/>
    <col min="4" max="4" width="8.08333333333333" customWidth="1"/>
    <col min="5" max="5" width="7.49166666666667" style="26" customWidth="1"/>
    <col min="6" max="6" width="10.1416666666667" style="26" customWidth="1"/>
    <col min="7" max="7" width="7.93333333333333" style="25" customWidth="1"/>
    <col min="8" max="8" width="11.0666666666667" style="25" customWidth="1"/>
    <col min="9" max="10" width="7.93333333333333" style="26" customWidth="1"/>
    <col min="11" max="11" width="9.40833333333333" customWidth="1"/>
    <col min="12" max="12" width="9.55833333333333" customWidth="1"/>
    <col min="13" max="13" width="11.25" style="27" customWidth="1"/>
    <col min="14" max="14" width="11.0583333333333" style="26" customWidth="1"/>
    <col min="15" max="15" width="12.1416666666667" customWidth="1"/>
    <col min="16" max="16" width="13.75" customWidth="1"/>
    <col min="17" max="17" width="31.125" customWidth="1"/>
  </cols>
  <sheetData>
    <row r="1" ht="24" customHeight="1" spans="1:17">
      <c r="A1" s="28" t="s">
        <v>0</v>
      </c>
      <c r="B1" s="29"/>
      <c r="C1" s="29"/>
      <c r="D1" s="28"/>
      <c r="E1" s="28"/>
      <c r="F1" s="28"/>
      <c r="G1" s="29"/>
      <c r="H1" s="29"/>
      <c r="I1" s="28"/>
      <c r="J1" s="28"/>
      <c r="K1" s="28"/>
      <c r="L1" s="28"/>
      <c r="M1" s="30"/>
      <c r="N1" s="28"/>
      <c r="O1" s="28"/>
      <c r="P1" s="28"/>
      <c r="Q1" s="31"/>
    </row>
    <row r="2" ht="30" customHeight="1" spans="1:17">
      <c r="A2" s="32" t="s">
        <v>1</v>
      </c>
      <c r="B2" s="33"/>
      <c r="C2" s="33"/>
      <c r="D2" s="32"/>
      <c r="E2" s="32"/>
      <c r="F2" s="32"/>
      <c r="G2" s="34" t="s">
        <v>2</v>
      </c>
      <c r="H2" s="35"/>
      <c r="I2" s="36"/>
      <c r="J2" s="36"/>
      <c r="K2" s="37"/>
      <c r="L2" s="38" t="s">
        <v>3</v>
      </c>
      <c r="M2" s="39"/>
      <c r="N2" s="40"/>
      <c r="O2" s="41"/>
      <c r="P2" s="42"/>
      <c r="Q2" s="31"/>
    </row>
    <row r="3" ht="62" customHeight="1" spans="1:17">
      <c r="A3" s="43" t="s">
        <v>4</v>
      </c>
      <c r="B3" s="44" t="s">
        <v>5</v>
      </c>
      <c r="C3" s="45" t="s">
        <v>6</v>
      </c>
      <c r="D3" s="43" t="s">
        <v>7</v>
      </c>
      <c r="E3" s="46" t="s">
        <v>8</v>
      </c>
      <c r="F3" s="46" t="s">
        <v>9</v>
      </c>
      <c r="G3" s="45" t="s">
        <v>5</v>
      </c>
      <c r="H3" s="45" t="s">
        <v>6</v>
      </c>
      <c r="I3" s="46" t="s">
        <v>7</v>
      </c>
      <c r="J3" s="46" t="s">
        <v>8</v>
      </c>
      <c r="K3" s="43" t="s">
        <v>10</v>
      </c>
      <c r="L3" s="47" t="s">
        <v>11</v>
      </c>
      <c r="M3" s="48" t="s">
        <v>12</v>
      </c>
      <c r="N3" s="48" t="s">
        <v>13</v>
      </c>
      <c r="O3" s="43" t="s">
        <v>14</v>
      </c>
      <c r="P3" s="38" t="s">
        <v>15</v>
      </c>
      <c r="Q3" s="74" t="s">
        <v>16</v>
      </c>
    </row>
    <row r="4" ht="62" customHeight="1" spans="1:17">
      <c r="A4" s="46" t="s">
        <v>17</v>
      </c>
      <c r="B4" s="50">
        <v>322.66</v>
      </c>
      <c r="C4" s="50">
        <v>363.93</v>
      </c>
      <c r="D4" s="51">
        <f t="shared" ref="D4:D8" si="0">C4-B4</f>
        <v>41.27</v>
      </c>
      <c r="E4" s="51">
        <v>40</v>
      </c>
      <c r="F4" s="51">
        <f t="shared" ref="F4:F8" si="1">D4*E4</f>
        <v>1650.8</v>
      </c>
      <c r="G4" s="52">
        <v>35.62</v>
      </c>
      <c r="H4" s="50">
        <v>40.86</v>
      </c>
      <c r="I4" s="51">
        <f t="shared" ref="I4:I8" si="2">H4-G4</f>
        <v>5.24</v>
      </c>
      <c r="J4" s="51">
        <v>60</v>
      </c>
      <c r="K4" s="51">
        <f t="shared" ref="K4:K8" si="3">I4*J4</f>
        <v>314.4</v>
      </c>
      <c r="L4" s="51">
        <f t="shared" ref="L4:L8" si="4">F4-K4</f>
        <v>1336.4</v>
      </c>
      <c r="M4" s="40">
        <v>0.95786875</v>
      </c>
      <c r="N4" s="53">
        <v>0.99856875</v>
      </c>
      <c r="O4" s="54">
        <f t="shared" ref="O4:O7" si="5">L4*N4</f>
        <v>1334.4872775</v>
      </c>
      <c r="P4" s="38" t="s">
        <v>18</v>
      </c>
      <c r="Q4" s="75" t="s">
        <v>19</v>
      </c>
    </row>
    <row r="5" ht="62" customHeight="1" spans="1:17">
      <c r="A5" s="46" t="s">
        <v>20</v>
      </c>
      <c r="B5" s="50">
        <v>317.1</v>
      </c>
      <c r="C5" s="50">
        <v>357.39</v>
      </c>
      <c r="D5" s="51">
        <f t="shared" si="0"/>
        <v>40.29</v>
      </c>
      <c r="E5" s="51">
        <v>40</v>
      </c>
      <c r="F5" s="51">
        <f t="shared" si="1"/>
        <v>1611.6</v>
      </c>
      <c r="G5" s="52">
        <v>35.05</v>
      </c>
      <c r="H5" s="50">
        <v>40.17</v>
      </c>
      <c r="I5" s="51">
        <f t="shared" si="2"/>
        <v>5.12</v>
      </c>
      <c r="J5" s="51">
        <v>60</v>
      </c>
      <c r="K5" s="51">
        <f t="shared" si="3"/>
        <v>307.2</v>
      </c>
      <c r="L5" s="51">
        <f t="shared" si="4"/>
        <v>1304.4</v>
      </c>
      <c r="M5" s="40">
        <v>0.95786875</v>
      </c>
      <c r="N5" s="53">
        <v>0.99856875</v>
      </c>
      <c r="O5" s="54">
        <f t="shared" si="5"/>
        <v>1302.5330775</v>
      </c>
      <c r="P5" s="38" t="s">
        <v>21</v>
      </c>
      <c r="Q5" s="56" t="s">
        <v>22</v>
      </c>
    </row>
    <row r="6" ht="62" customHeight="1" spans="1:17">
      <c r="A6" s="46" t="s">
        <v>23</v>
      </c>
      <c r="B6" s="50">
        <v>547.83</v>
      </c>
      <c r="C6" s="50">
        <v>613.76</v>
      </c>
      <c r="D6" s="51">
        <f t="shared" si="0"/>
        <v>65.9299999999999</v>
      </c>
      <c r="E6" s="51">
        <v>40</v>
      </c>
      <c r="F6" s="51">
        <f t="shared" si="1"/>
        <v>2637.2</v>
      </c>
      <c r="G6" s="52">
        <v>74.14</v>
      </c>
      <c r="H6" s="50">
        <v>84.44</v>
      </c>
      <c r="I6" s="51">
        <f t="shared" si="2"/>
        <v>10.3</v>
      </c>
      <c r="J6" s="51">
        <v>60</v>
      </c>
      <c r="K6" s="51">
        <f t="shared" si="3"/>
        <v>618</v>
      </c>
      <c r="L6" s="51">
        <f t="shared" si="4"/>
        <v>2019.2</v>
      </c>
      <c r="M6" s="40">
        <v>0.71406875</v>
      </c>
      <c r="N6" s="53">
        <v>0.73096875</v>
      </c>
      <c r="O6" s="54">
        <f t="shared" si="5"/>
        <v>1475.9721</v>
      </c>
      <c r="P6" s="38" t="s">
        <v>24</v>
      </c>
      <c r="Q6" s="75" t="s">
        <v>25</v>
      </c>
    </row>
    <row r="7" ht="62" customHeight="1" spans="1:17">
      <c r="A7" s="46" t="s">
        <v>26</v>
      </c>
      <c r="B7" s="50">
        <v>42.83</v>
      </c>
      <c r="C7" s="50">
        <v>43.62</v>
      </c>
      <c r="D7" s="51">
        <f t="shared" si="0"/>
        <v>0.789999999999999</v>
      </c>
      <c r="E7" s="51">
        <v>40</v>
      </c>
      <c r="F7" s="51">
        <f t="shared" si="1"/>
        <v>31.6</v>
      </c>
      <c r="G7" s="52">
        <v>11.46</v>
      </c>
      <c r="H7" s="50">
        <v>11.5</v>
      </c>
      <c r="I7" s="51">
        <f t="shared" si="2"/>
        <v>0.0399999999999991</v>
      </c>
      <c r="J7" s="51">
        <v>60</v>
      </c>
      <c r="K7" s="51">
        <f t="shared" si="3"/>
        <v>2.39999999999995</v>
      </c>
      <c r="L7" s="51">
        <f t="shared" si="4"/>
        <v>29.2</v>
      </c>
      <c r="M7" s="40">
        <v>0.22636875</v>
      </c>
      <c r="N7" s="53">
        <v>0.19566875</v>
      </c>
      <c r="O7" s="54">
        <f t="shared" si="5"/>
        <v>5.7135275</v>
      </c>
      <c r="P7" s="38" t="s">
        <v>27</v>
      </c>
      <c r="Q7" s="57" t="s">
        <v>28</v>
      </c>
    </row>
    <row r="8" ht="62" customHeight="1" spans="1:17">
      <c r="A8" s="46" t="s">
        <v>29</v>
      </c>
      <c r="B8" s="50">
        <v>1230.44</v>
      </c>
      <c r="C8" s="50">
        <v>1378.73</v>
      </c>
      <c r="D8" s="51">
        <f t="shared" si="0"/>
        <v>148.29</v>
      </c>
      <c r="E8" s="51">
        <v>40</v>
      </c>
      <c r="F8" s="51">
        <f t="shared" si="1"/>
        <v>5931.6</v>
      </c>
      <c r="G8" s="52">
        <v>156.29</v>
      </c>
      <c r="H8" s="50">
        <v>176.99</v>
      </c>
      <c r="I8" s="51">
        <f t="shared" si="2"/>
        <v>20.7</v>
      </c>
      <c r="J8" s="51">
        <v>60</v>
      </c>
      <c r="K8" s="51">
        <f t="shared" si="3"/>
        <v>1242</v>
      </c>
      <c r="L8" s="51">
        <f t="shared" si="4"/>
        <v>4689.6</v>
      </c>
      <c r="M8" s="53"/>
      <c r="N8" s="53"/>
      <c r="O8" s="54">
        <f>SUM(O4:O7)</f>
        <v>4118.7059825</v>
      </c>
      <c r="P8" s="58"/>
      <c r="Q8" s="59"/>
    </row>
    <row r="9" ht="37" customHeight="1" spans="1:17">
      <c r="A9" s="60" t="s">
        <v>30</v>
      </c>
      <c r="B9" s="61"/>
      <c r="C9" s="62"/>
      <c r="D9" s="63"/>
      <c r="E9" s="64"/>
      <c r="M9" s="65" t="s">
        <v>31</v>
      </c>
      <c r="N9" s="65"/>
      <c r="O9" s="66" t="s">
        <v>32</v>
      </c>
      <c r="Q9" s="31"/>
    </row>
    <row r="10" ht="37" customHeight="1" spans="1:17">
      <c r="A10" s="60"/>
      <c r="B10" s="61"/>
      <c r="C10" s="62"/>
      <c r="D10" s="63"/>
      <c r="E10" s="64"/>
      <c r="M10" s="67"/>
      <c r="N10" s="65"/>
      <c r="O10" s="66"/>
    </row>
    <row r="11" customHeight="1" spans="1:17">
      <c r="A11" s="28" t="s">
        <v>0</v>
      </c>
      <c r="B11" s="29"/>
      <c r="C11" s="29"/>
      <c r="D11" s="28"/>
      <c r="E11" s="28"/>
      <c r="F11" s="28"/>
      <c r="G11" s="29"/>
      <c r="H11" s="29"/>
      <c r="I11" s="28"/>
      <c r="J11" s="28"/>
      <c r="K11" s="28"/>
      <c r="L11" s="28"/>
      <c r="M11" s="30"/>
      <c r="N11" s="28"/>
      <c r="O11" s="28"/>
      <c r="P11" s="28"/>
    </row>
    <row r="12" ht="52" customHeight="1" spans="1:17">
      <c r="A12" s="32" t="s">
        <v>1</v>
      </c>
      <c r="B12" s="33"/>
      <c r="C12" s="33"/>
      <c r="D12" s="32"/>
      <c r="E12" s="32"/>
      <c r="F12" s="32"/>
      <c r="G12" s="34" t="s">
        <v>2</v>
      </c>
      <c r="H12" s="35"/>
      <c r="I12" s="36"/>
      <c r="J12" s="36"/>
      <c r="K12" s="37"/>
      <c r="L12" s="38" t="s">
        <v>3</v>
      </c>
      <c r="M12" s="39"/>
      <c r="N12" s="40"/>
      <c r="O12" s="41"/>
      <c r="P12" s="42"/>
    </row>
    <row r="13" ht="52" customHeight="1" spans="1:17">
      <c r="A13" s="46" t="s">
        <v>4</v>
      </c>
      <c r="B13" s="45" t="s">
        <v>5</v>
      </c>
      <c r="C13" s="45" t="s">
        <v>6</v>
      </c>
      <c r="D13" s="46" t="s">
        <v>7</v>
      </c>
      <c r="E13" s="46" t="s">
        <v>8</v>
      </c>
      <c r="F13" s="46" t="s">
        <v>9</v>
      </c>
      <c r="G13" s="45" t="s">
        <v>5</v>
      </c>
      <c r="H13" s="45" t="s">
        <v>6</v>
      </c>
      <c r="I13" s="46" t="s">
        <v>7</v>
      </c>
      <c r="J13" s="46" t="s">
        <v>8</v>
      </c>
      <c r="K13" s="46" t="s">
        <v>10</v>
      </c>
      <c r="L13" s="68" t="s">
        <v>11</v>
      </c>
      <c r="M13" s="48" t="s">
        <v>12</v>
      </c>
      <c r="N13" s="48" t="s">
        <v>13</v>
      </c>
      <c r="O13" s="43" t="s">
        <v>14</v>
      </c>
      <c r="P13" s="38" t="s">
        <v>15</v>
      </c>
      <c r="Q13" s="76" t="s">
        <v>33</v>
      </c>
    </row>
    <row r="14" ht="52" customHeight="1" spans="1:17">
      <c r="A14" s="46" t="s">
        <v>17</v>
      </c>
      <c r="B14" s="50">
        <v>204.13</v>
      </c>
      <c r="C14" s="50">
        <v>230.01</v>
      </c>
      <c r="D14" s="51">
        <f t="shared" ref="D14:D18" si="6">C14-B14</f>
        <v>25.88</v>
      </c>
      <c r="E14" s="51">
        <v>40</v>
      </c>
      <c r="F14" s="51">
        <f t="shared" ref="F14:F18" si="7">D14*E14</f>
        <v>1035.2</v>
      </c>
      <c r="G14" s="52">
        <v>20.64</v>
      </c>
      <c r="H14" s="50">
        <v>25.54</v>
      </c>
      <c r="I14" s="51">
        <f t="shared" ref="I14:I18" si="8">H14-G14</f>
        <v>4.9</v>
      </c>
      <c r="J14" s="51">
        <v>60</v>
      </c>
      <c r="K14" s="51">
        <f t="shared" ref="K14:K18" si="9">I14*J14</f>
        <v>294</v>
      </c>
      <c r="L14" s="51">
        <f t="shared" ref="L14:L18" si="10">F14-K14</f>
        <v>741.2</v>
      </c>
      <c r="M14" s="40">
        <v>0.95786875</v>
      </c>
      <c r="N14" s="40">
        <f t="shared" ref="N14:N17" si="11">M14-0.05</f>
        <v>0.90786875</v>
      </c>
      <c r="O14" s="54">
        <f t="shared" ref="O14:O17" si="12">L14*N14</f>
        <v>672.9123175</v>
      </c>
      <c r="P14" s="38" t="s">
        <v>18</v>
      </c>
      <c r="Q14" s="76" t="s">
        <v>34</v>
      </c>
    </row>
    <row r="15" ht="52" customHeight="1" spans="1:17">
      <c r="A15" s="46" t="s">
        <v>20</v>
      </c>
      <c r="B15" s="50">
        <v>206.72</v>
      </c>
      <c r="C15" s="50">
        <v>234.41</v>
      </c>
      <c r="D15" s="51">
        <f t="shared" si="6"/>
        <v>27.69</v>
      </c>
      <c r="E15" s="51">
        <v>40</v>
      </c>
      <c r="F15" s="51">
        <f t="shared" si="7"/>
        <v>1107.6</v>
      </c>
      <c r="G15" s="52">
        <v>20.4</v>
      </c>
      <c r="H15" s="50">
        <v>25.08</v>
      </c>
      <c r="I15" s="51">
        <f t="shared" si="8"/>
        <v>4.68</v>
      </c>
      <c r="J15" s="51">
        <v>60</v>
      </c>
      <c r="K15" s="51">
        <f t="shared" si="9"/>
        <v>280.8</v>
      </c>
      <c r="L15" s="51">
        <f t="shared" si="10"/>
        <v>826.8</v>
      </c>
      <c r="M15" s="40">
        <v>0.95786875</v>
      </c>
      <c r="N15" s="40">
        <f t="shared" si="11"/>
        <v>0.90786875</v>
      </c>
      <c r="O15" s="54">
        <f t="shared" si="12"/>
        <v>750.6258825</v>
      </c>
      <c r="P15" s="38" t="s">
        <v>21</v>
      </c>
      <c r="Q15" s="69" t="s">
        <v>35</v>
      </c>
    </row>
    <row r="16" ht="52" customHeight="1" spans="1:17">
      <c r="A16" s="46" t="s">
        <v>23</v>
      </c>
      <c r="B16" s="50">
        <v>364.57</v>
      </c>
      <c r="C16" s="50">
        <v>410.87</v>
      </c>
      <c r="D16" s="51">
        <f t="shared" si="6"/>
        <v>46.3</v>
      </c>
      <c r="E16" s="51">
        <v>40</v>
      </c>
      <c r="F16" s="51">
        <f t="shared" si="7"/>
        <v>1852</v>
      </c>
      <c r="G16" s="52">
        <v>80.11</v>
      </c>
      <c r="H16" s="50">
        <v>95.17</v>
      </c>
      <c r="I16" s="51">
        <f t="shared" si="8"/>
        <v>15.06</v>
      </c>
      <c r="J16" s="51">
        <v>60</v>
      </c>
      <c r="K16" s="51">
        <f t="shared" si="9"/>
        <v>903.6</v>
      </c>
      <c r="L16" s="51">
        <f t="shared" si="10"/>
        <v>948.4</v>
      </c>
      <c r="M16" s="40">
        <v>0.71406875</v>
      </c>
      <c r="N16" s="40">
        <f t="shared" si="11"/>
        <v>0.66406875</v>
      </c>
      <c r="O16" s="54">
        <f t="shared" si="12"/>
        <v>629.8028025</v>
      </c>
      <c r="P16" s="38" t="s">
        <v>24</v>
      </c>
      <c r="Q16" s="76" t="s">
        <v>36</v>
      </c>
    </row>
    <row r="17" ht="52" customHeight="1" spans="1:17">
      <c r="A17" s="46" t="s">
        <v>26</v>
      </c>
      <c r="B17" s="50">
        <v>30.76</v>
      </c>
      <c r="C17" s="50">
        <v>31.4</v>
      </c>
      <c r="D17" s="51">
        <f t="shared" si="6"/>
        <v>0.639999999999997</v>
      </c>
      <c r="E17" s="51">
        <v>40</v>
      </c>
      <c r="F17" s="51">
        <f t="shared" si="7"/>
        <v>25.5999999999999</v>
      </c>
      <c r="G17" s="52">
        <v>10.55</v>
      </c>
      <c r="H17" s="50">
        <v>10.58</v>
      </c>
      <c r="I17" s="51">
        <f t="shared" si="8"/>
        <v>0.0299999999999994</v>
      </c>
      <c r="J17" s="51">
        <v>60</v>
      </c>
      <c r="K17" s="51">
        <f t="shared" si="9"/>
        <v>1.79999999999996</v>
      </c>
      <c r="L17" s="51">
        <f t="shared" si="10"/>
        <v>23.7999999999999</v>
      </c>
      <c r="M17" s="40">
        <v>0.22636875</v>
      </c>
      <c r="N17" s="40">
        <f t="shared" si="11"/>
        <v>0.17636875</v>
      </c>
      <c r="O17" s="54">
        <f t="shared" si="12"/>
        <v>4.19757624999998</v>
      </c>
      <c r="P17" s="38" t="s">
        <v>27</v>
      </c>
      <c r="Q17" s="69" t="s">
        <v>37</v>
      </c>
    </row>
    <row r="18" ht="52" customHeight="1" spans="1:17">
      <c r="A18" s="46" t="s">
        <v>29</v>
      </c>
      <c r="B18" s="50">
        <v>806.21</v>
      </c>
      <c r="C18" s="50">
        <v>906.69</v>
      </c>
      <c r="D18" s="51">
        <f t="shared" si="6"/>
        <v>100.48</v>
      </c>
      <c r="E18" s="51">
        <v>40</v>
      </c>
      <c r="F18" s="51">
        <f t="shared" si="7"/>
        <v>4019.2</v>
      </c>
      <c r="G18" s="52">
        <v>131.71</v>
      </c>
      <c r="H18" s="50">
        <v>156.39</v>
      </c>
      <c r="I18" s="51">
        <f t="shared" si="8"/>
        <v>24.68</v>
      </c>
      <c r="J18" s="51">
        <v>60</v>
      </c>
      <c r="K18" s="51">
        <f t="shared" si="9"/>
        <v>1480.8</v>
      </c>
      <c r="L18" s="51">
        <f t="shared" si="10"/>
        <v>2538.4</v>
      </c>
      <c r="M18" s="70"/>
      <c r="N18" s="71"/>
      <c r="O18" s="54">
        <f>SUM(O14:O17)</f>
        <v>2057.53857875</v>
      </c>
      <c r="P18" s="58"/>
    </row>
    <row r="19" customFormat="1" ht="37" customHeight="1" spans="1:17">
      <c r="A19" s="60" t="s">
        <v>30</v>
      </c>
      <c r="B19" s="61"/>
      <c r="C19" s="62"/>
      <c r="D19" s="63"/>
      <c r="E19" s="64"/>
      <c r="F19" s="26"/>
      <c r="G19" s="25"/>
      <c r="H19" s="25"/>
      <c r="I19" s="26"/>
      <c r="J19" s="26"/>
      <c r="M19" s="65" t="s">
        <v>31</v>
      </c>
      <c r="N19" s="65"/>
      <c r="O19" s="66" t="s">
        <v>32</v>
      </c>
    </row>
    <row r="20" customFormat="1" ht="37" customHeight="1" spans="1:17">
      <c r="A20" s="60"/>
      <c r="B20" s="61"/>
      <c r="C20" s="62"/>
      <c r="D20" s="63"/>
      <c r="E20" s="64"/>
      <c r="F20" s="26"/>
      <c r="G20" s="25"/>
      <c r="H20" s="25"/>
      <c r="I20" s="26"/>
      <c r="J20" s="26"/>
      <c r="K20"/>
      <c r="L20"/>
      <c r="M20" s="67"/>
      <c r="N20" s="65"/>
      <c r="O20" s="66"/>
    </row>
    <row r="21" customHeight="1" spans="1:17">
      <c r="A21" s="28" t="s">
        <v>0</v>
      </c>
      <c r="B21" s="29"/>
      <c r="C21" s="29"/>
      <c r="D21" s="28"/>
      <c r="E21" s="28"/>
      <c r="F21" s="28"/>
      <c r="G21" s="29"/>
      <c r="H21" s="29"/>
      <c r="I21" s="28"/>
      <c r="J21" s="28"/>
      <c r="K21" s="28"/>
      <c r="L21" s="28"/>
      <c r="M21" s="30"/>
      <c r="N21" s="28"/>
      <c r="O21" s="28"/>
      <c r="P21" s="28"/>
    </row>
    <row r="22" customFormat="1" ht="52" customHeight="1" spans="1:17">
      <c r="A22" s="32" t="s">
        <v>1</v>
      </c>
      <c r="B22" s="33"/>
      <c r="C22" s="33"/>
      <c r="D22" s="32"/>
      <c r="E22" s="32"/>
      <c r="F22" s="32"/>
      <c r="G22" s="34" t="s">
        <v>2</v>
      </c>
      <c r="H22" s="35"/>
      <c r="I22" s="36"/>
      <c r="J22" s="36"/>
      <c r="K22" s="37"/>
      <c r="L22" s="38" t="s">
        <v>3</v>
      </c>
      <c r="M22" s="39"/>
      <c r="N22" s="40"/>
      <c r="O22" s="41"/>
      <c r="P22" s="42"/>
    </row>
    <row r="23" ht="57" customHeight="1" spans="1:17">
      <c r="A23" s="43" t="s">
        <v>4</v>
      </c>
      <c r="B23" s="44" t="s">
        <v>5</v>
      </c>
      <c r="C23" s="45" t="s">
        <v>6</v>
      </c>
      <c r="D23" s="43" t="s">
        <v>7</v>
      </c>
      <c r="E23" s="46" t="s">
        <v>8</v>
      </c>
      <c r="F23" s="46" t="s">
        <v>9</v>
      </c>
      <c r="G23" s="45" t="s">
        <v>5</v>
      </c>
      <c r="H23" s="45" t="s">
        <v>6</v>
      </c>
      <c r="I23" s="46" t="s">
        <v>7</v>
      </c>
      <c r="J23" s="46" t="s">
        <v>8</v>
      </c>
      <c r="K23" s="43" t="s">
        <v>10</v>
      </c>
      <c r="L23" s="47" t="s">
        <v>11</v>
      </c>
      <c r="M23" s="48" t="s">
        <v>12</v>
      </c>
      <c r="N23" s="48" t="s">
        <v>13</v>
      </c>
      <c r="O23" s="43" t="s">
        <v>14</v>
      </c>
      <c r="P23" s="38" t="s">
        <v>15</v>
      </c>
      <c r="Q23" s="76" t="s">
        <v>38</v>
      </c>
    </row>
    <row r="24" ht="57" customHeight="1" spans="1:17">
      <c r="A24" s="46" t="s">
        <v>17</v>
      </c>
      <c r="B24" s="50">
        <v>311.27</v>
      </c>
      <c r="C24" s="50">
        <v>361.24</v>
      </c>
      <c r="D24" s="51">
        <f t="shared" ref="D24:D28" si="13">C24-B24</f>
        <v>49.97</v>
      </c>
      <c r="E24" s="51">
        <v>60</v>
      </c>
      <c r="F24" s="51">
        <f t="shared" ref="F24:F28" si="14">D24*E24</f>
        <v>2998.2</v>
      </c>
      <c r="G24" s="52">
        <v>212.91</v>
      </c>
      <c r="H24" s="50">
        <v>260.07</v>
      </c>
      <c r="I24" s="51">
        <f t="shared" ref="I24:I28" si="15">H24-G24</f>
        <v>47.16</v>
      </c>
      <c r="J24" s="51">
        <v>60</v>
      </c>
      <c r="K24" s="51">
        <f t="shared" ref="K24:K28" si="16">I24*J24</f>
        <v>2829.6</v>
      </c>
      <c r="L24" s="54">
        <f t="shared" ref="L24:L28" si="17">F24-K24</f>
        <v>168.600000000002</v>
      </c>
      <c r="M24" s="40">
        <v>0.95786875</v>
      </c>
      <c r="N24" s="53">
        <f t="shared" ref="N24:N27" si="18">M24-0.05</f>
        <v>0.90786875</v>
      </c>
      <c r="O24" s="54">
        <f t="shared" ref="O24:O27" si="19">L24*N24</f>
        <v>153.066671250002</v>
      </c>
      <c r="P24" s="38" t="s">
        <v>18</v>
      </c>
      <c r="Q24" s="76" t="s">
        <v>39</v>
      </c>
    </row>
    <row r="25" ht="57" customHeight="1" spans="1:17">
      <c r="A25" s="46" t="s">
        <v>20</v>
      </c>
      <c r="B25" s="50">
        <v>299.64</v>
      </c>
      <c r="C25" s="50">
        <v>345.87</v>
      </c>
      <c r="D25" s="51">
        <f t="shared" si="13"/>
        <v>46.23</v>
      </c>
      <c r="E25" s="51">
        <v>60</v>
      </c>
      <c r="F25" s="51">
        <f t="shared" si="14"/>
        <v>2773.8</v>
      </c>
      <c r="G25" s="52">
        <v>204.69</v>
      </c>
      <c r="H25" s="50">
        <v>248.52</v>
      </c>
      <c r="I25" s="51">
        <f t="shared" si="15"/>
        <v>43.83</v>
      </c>
      <c r="J25" s="51">
        <v>60</v>
      </c>
      <c r="K25" s="51">
        <f t="shared" si="16"/>
        <v>2629.8</v>
      </c>
      <c r="L25" s="54">
        <f t="shared" si="17"/>
        <v>144</v>
      </c>
      <c r="M25" s="40">
        <v>0.95786875</v>
      </c>
      <c r="N25" s="53">
        <f t="shared" si="18"/>
        <v>0.90786875</v>
      </c>
      <c r="O25" s="54">
        <f t="shared" si="19"/>
        <v>130.7331</v>
      </c>
      <c r="P25" s="38" t="s">
        <v>21</v>
      </c>
      <c r="Q25" s="72" t="s">
        <v>40</v>
      </c>
    </row>
    <row r="26" ht="57" customHeight="1" spans="1:17">
      <c r="A26" s="46" t="s">
        <v>23</v>
      </c>
      <c r="B26" s="50">
        <v>503.88</v>
      </c>
      <c r="C26" s="50">
        <v>580.72</v>
      </c>
      <c r="D26" s="51">
        <f t="shared" si="13"/>
        <v>76.84</v>
      </c>
      <c r="E26" s="51">
        <v>60</v>
      </c>
      <c r="F26" s="51">
        <f t="shared" si="14"/>
        <v>4610.4</v>
      </c>
      <c r="G26" s="52">
        <v>389.98</v>
      </c>
      <c r="H26" s="50">
        <v>463.97</v>
      </c>
      <c r="I26" s="51">
        <f t="shared" si="15"/>
        <v>73.99</v>
      </c>
      <c r="J26" s="51">
        <v>60</v>
      </c>
      <c r="K26" s="51">
        <f t="shared" si="16"/>
        <v>4439.4</v>
      </c>
      <c r="L26" s="54">
        <f t="shared" si="17"/>
        <v>171.000000000001</v>
      </c>
      <c r="M26" s="40">
        <v>0.71406875</v>
      </c>
      <c r="N26" s="53">
        <f t="shared" si="18"/>
        <v>0.66406875</v>
      </c>
      <c r="O26" s="54">
        <f t="shared" si="19"/>
        <v>113.555756250001</v>
      </c>
      <c r="P26" s="38" t="s">
        <v>24</v>
      </c>
      <c r="Q26" s="76" t="s">
        <v>41</v>
      </c>
    </row>
    <row r="27" ht="57" customHeight="1" spans="1:17">
      <c r="A27" s="46" t="s">
        <v>26</v>
      </c>
      <c r="B27" s="50">
        <v>42.01</v>
      </c>
      <c r="C27" s="50">
        <v>43.34</v>
      </c>
      <c r="D27" s="51">
        <f t="shared" si="13"/>
        <v>1.33000000000001</v>
      </c>
      <c r="E27" s="51">
        <v>60</v>
      </c>
      <c r="F27" s="51">
        <f t="shared" si="14"/>
        <v>79.8000000000003</v>
      </c>
      <c r="G27" s="52">
        <v>27.79</v>
      </c>
      <c r="H27" s="50">
        <v>28.98</v>
      </c>
      <c r="I27" s="51">
        <f t="shared" si="15"/>
        <v>1.19</v>
      </c>
      <c r="J27" s="51">
        <v>60</v>
      </c>
      <c r="K27" s="51">
        <f t="shared" si="16"/>
        <v>71.4000000000001</v>
      </c>
      <c r="L27" s="54">
        <f t="shared" si="17"/>
        <v>8.40000000000025</v>
      </c>
      <c r="M27" s="40">
        <v>0.22636875</v>
      </c>
      <c r="N27" s="53">
        <f t="shared" si="18"/>
        <v>0.17636875</v>
      </c>
      <c r="O27" s="54">
        <f t="shared" si="19"/>
        <v>1.48149750000004</v>
      </c>
      <c r="P27" s="38" t="s">
        <v>27</v>
      </c>
      <c r="Q27" s="73" t="s">
        <v>42</v>
      </c>
    </row>
    <row r="28" ht="57" customHeight="1" spans="1:17">
      <c r="A28" s="46" t="s">
        <v>29</v>
      </c>
      <c r="B28" s="50">
        <v>1156.82</v>
      </c>
      <c r="C28" s="50">
        <v>1331.19</v>
      </c>
      <c r="D28" s="51">
        <f t="shared" si="13"/>
        <v>174.37</v>
      </c>
      <c r="E28" s="51">
        <v>60</v>
      </c>
      <c r="F28" s="51">
        <f t="shared" si="14"/>
        <v>10462.2</v>
      </c>
      <c r="G28" s="52">
        <v>835.38</v>
      </c>
      <c r="H28" s="50">
        <v>1001.56</v>
      </c>
      <c r="I28" s="51">
        <f t="shared" si="15"/>
        <v>166.18</v>
      </c>
      <c r="J28" s="51">
        <v>60</v>
      </c>
      <c r="K28" s="51">
        <f t="shared" si="16"/>
        <v>9970.8</v>
      </c>
      <c r="L28" s="54">
        <f t="shared" si="17"/>
        <v>491.400000000011</v>
      </c>
      <c r="M28" s="70"/>
      <c r="N28" s="71"/>
      <c r="O28" s="54">
        <f>SUM(O24:O27)</f>
        <v>398.837025000003</v>
      </c>
      <c r="P28" s="58"/>
    </row>
    <row r="29" customFormat="1" ht="37" customHeight="1" spans="1:17">
      <c r="A29" s="60" t="s">
        <v>30</v>
      </c>
      <c r="B29" s="61"/>
      <c r="C29" s="62"/>
      <c r="D29" s="63"/>
      <c r="E29" s="64"/>
      <c r="F29" s="26"/>
      <c r="G29" s="25"/>
      <c r="H29" s="25"/>
      <c r="I29" s="26"/>
      <c r="J29" s="26"/>
      <c r="M29" s="65" t="s">
        <v>31</v>
      </c>
      <c r="N29" s="65"/>
      <c r="O29" s="66" t="s">
        <v>32</v>
      </c>
    </row>
    <row r="30" customFormat="1" ht="37" customHeight="1" spans="1:17">
      <c r="A30" s="60"/>
      <c r="B30" s="61"/>
      <c r="C30" s="62"/>
      <c r="D30" s="63"/>
      <c r="E30" s="64"/>
      <c r="F30" s="26"/>
      <c r="G30" s="25"/>
      <c r="H30" s="25"/>
      <c r="I30" s="26"/>
      <c r="J30" s="26"/>
      <c r="M30" s="67"/>
      <c r="N30" s="65"/>
      <c r="O30" s="66"/>
    </row>
    <row r="31" customHeight="1" spans="1:17">
      <c r="A31" s="28" t="s">
        <v>0</v>
      </c>
      <c r="B31" s="29"/>
      <c r="C31" s="29"/>
      <c r="D31" s="28"/>
      <c r="E31" s="28"/>
      <c r="F31" s="28"/>
      <c r="G31" s="29"/>
      <c r="H31" s="29"/>
      <c r="I31" s="28"/>
      <c r="J31" s="28"/>
      <c r="K31" s="28"/>
      <c r="L31" s="28"/>
      <c r="M31" s="30"/>
      <c r="N31" s="28"/>
      <c r="O31" s="28"/>
      <c r="P31" s="28"/>
    </row>
    <row r="32" customFormat="1" ht="52" customHeight="1" spans="1:17">
      <c r="A32" s="32" t="s">
        <v>1</v>
      </c>
      <c r="B32" s="33"/>
      <c r="C32" s="33"/>
      <c r="D32" s="32"/>
      <c r="E32" s="32"/>
      <c r="F32" s="32"/>
      <c r="G32" s="34" t="s">
        <v>2</v>
      </c>
      <c r="H32" s="35"/>
      <c r="I32" s="36"/>
      <c r="J32" s="36"/>
      <c r="K32" s="37"/>
      <c r="L32" s="38" t="s">
        <v>3</v>
      </c>
      <c r="M32" s="39"/>
      <c r="N32" s="40"/>
      <c r="O32" s="41"/>
      <c r="P32" s="42"/>
    </row>
    <row r="33" ht="52" customHeight="1" spans="1:18">
      <c r="A33" s="43" t="s">
        <v>4</v>
      </c>
      <c r="B33" s="44" t="s">
        <v>5</v>
      </c>
      <c r="C33" s="45" t="s">
        <v>6</v>
      </c>
      <c r="D33" s="43" t="s">
        <v>7</v>
      </c>
      <c r="E33" s="46" t="s">
        <v>8</v>
      </c>
      <c r="F33" s="46" t="s">
        <v>9</v>
      </c>
      <c r="G33" s="45" t="s">
        <v>5</v>
      </c>
      <c r="H33" s="45" t="s">
        <v>6</v>
      </c>
      <c r="I33" s="46" t="s">
        <v>7</v>
      </c>
      <c r="J33" s="46" t="s">
        <v>8</v>
      </c>
      <c r="K33" s="43" t="s">
        <v>10</v>
      </c>
      <c r="L33" s="47" t="s">
        <v>11</v>
      </c>
      <c r="M33" s="48" t="s">
        <v>12</v>
      </c>
      <c r="N33" s="48" t="s">
        <v>13</v>
      </c>
      <c r="O33" s="43" t="s">
        <v>14</v>
      </c>
      <c r="P33" s="38" t="s">
        <v>15</v>
      </c>
      <c r="Q33" s="76" t="s">
        <v>43</v>
      </c>
      <c r="R33" s="66" t="s">
        <v>44</v>
      </c>
    </row>
    <row r="34" ht="52" customHeight="1" spans="1:18">
      <c r="A34" s="46" t="s">
        <v>17</v>
      </c>
      <c r="B34" s="50">
        <v>351.2</v>
      </c>
      <c r="C34" s="50">
        <v>398.77</v>
      </c>
      <c r="D34" s="51">
        <f t="shared" ref="D34:D38" si="20">C34-B34</f>
        <v>47.57</v>
      </c>
      <c r="E34" s="51">
        <v>60</v>
      </c>
      <c r="F34" s="51">
        <f t="shared" ref="F34:F38" si="21">D34*E34</f>
        <v>2854.2</v>
      </c>
      <c r="G34" s="52">
        <v>191.37</v>
      </c>
      <c r="H34" s="50">
        <v>221.49</v>
      </c>
      <c r="I34" s="51">
        <f t="shared" ref="I34:I38" si="22">H34-G34</f>
        <v>30.12</v>
      </c>
      <c r="J34" s="51">
        <v>60</v>
      </c>
      <c r="K34" s="51">
        <f t="shared" ref="K34:K38" si="23">I34*J34</f>
        <v>1807.2</v>
      </c>
      <c r="L34" s="51">
        <f t="shared" ref="L34:L38" si="24">F34-K34</f>
        <v>1047</v>
      </c>
      <c r="M34" s="40">
        <v>0.69986875</v>
      </c>
      <c r="N34" s="40">
        <f t="shared" ref="N34:N37" si="25">M34-0.06</f>
        <v>0.63986875</v>
      </c>
      <c r="O34" s="54">
        <f t="shared" ref="O34:O37" si="26">L34*N34</f>
        <v>669.94258125</v>
      </c>
      <c r="P34" s="38" t="s">
        <v>18</v>
      </c>
      <c r="Q34" s="76" t="s">
        <v>45</v>
      </c>
    </row>
    <row r="35" ht="52" customHeight="1" spans="1:18">
      <c r="A35" s="46" t="s">
        <v>20</v>
      </c>
      <c r="B35" s="50">
        <v>338.79</v>
      </c>
      <c r="C35" s="50">
        <v>382.91</v>
      </c>
      <c r="D35" s="51">
        <f t="shared" si="20"/>
        <v>44.12</v>
      </c>
      <c r="E35" s="51">
        <v>60</v>
      </c>
      <c r="F35" s="51">
        <f t="shared" si="21"/>
        <v>2647.2</v>
      </c>
      <c r="G35" s="52">
        <v>200.73</v>
      </c>
      <c r="H35" s="50">
        <v>231.28</v>
      </c>
      <c r="I35" s="51">
        <f t="shared" si="22"/>
        <v>30.55</v>
      </c>
      <c r="J35" s="51">
        <v>60</v>
      </c>
      <c r="K35" s="51">
        <f t="shared" si="23"/>
        <v>1833</v>
      </c>
      <c r="L35" s="51">
        <f t="shared" si="24"/>
        <v>814.2</v>
      </c>
      <c r="M35" s="40">
        <v>0.69986875</v>
      </c>
      <c r="N35" s="40">
        <f t="shared" si="25"/>
        <v>0.63986875</v>
      </c>
      <c r="O35" s="54">
        <f t="shared" si="26"/>
        <v>520.98113625</v>
      </c>
      <c r="P35" s="38" t="s">
        <v>21</v>
      </c>
      <c r="Q35" s="69" t="s">
        <v>46</v>
      </c>
    </row>
    <row r="36" ht="52" customHeight="1" spans="1:18">
      <c r="A36" s="46" t="s">
        <v>23</v>
      </c>
      <c r="B36" s="50">
        <v>580.79</v>
      </c>
      <c r="C36" s="50">
        <v>656.04</v>
      </c>
      <c r="D36" s="51">
        <f t="shared" si="20"/>
        <v>75.25</v>
      </c>
      <c r="E36" s="51">
        <v>60</v>
      </c>
      <c r="F36" s="51">
        <f t="shared" si="21"/>
        <v>4515</v>
      </c>
      <c r="G36" s="52">
        <v>332.55</v>
      </c>
      <c r="H36" s="50">
        <v>382.59</v>
      </c>
      <c r="I36" s="51">
        <f t="shared" si="22"/>
        <v>50.04</v>
      </c>
      <c r="J36" s="51">
        <v>60</v>
      </c>
      <c r="K36" s="51">
        <f t="shared" si="23"/>
        <v>3002.4</v>
      </c>
      <c r="L36" s="51">
        <f t="shared" si="24"/>
        <v>1512.6</v>
      </c>
      <c r="M36" s="40">
        <v>0.69986875</v>
      </c>
      <c r="N36" s="40">
        <f t="shared" si="25"/>
        <v>0.63986875</v>
      </c>
      <c r="O36" s="54">
        <f t="shared" si="26"/>
        <v>967.865471250001</v>
      </c>
      <c r="P36" s="38" t="s">
        <v>24</v>
      </c>
      <c r="Q36" s="76" t="s">
        <v>47</v>
      </c>
    </row>
    <row r="37" ht="52" customHeight="1" spans="1:18">
      <c r="A37" s="46" t="s">
        <v>26</v>
      </c>
      <c r="B37" s="50">
        <v>47.61</v>
      </c>
      <c r="C37" s="50">
        <v>48.88</v>
      </c>
      <c r="D37" s="51">
        <f t="shared" si="20"/>
        <v>1.27</v>
      </c>
      <c r="E37" s="51">
        <v>60</v>
      </c>
      <c r="F37" s="51">
        <f t="shared" si="21"/>
        <v>76.2000000000002</v>
      </c>
      <c r="G37" s="52">
        <v>3.28</v>
      </c>
      <c r="H37" s="50">
        <v>3.29</v>
      </c>
      <c r="I37" s="51">
        <f t="shared" si="22"/>
        <v>0.0100000000000002</v>
      </c>
      <c r="J37" s="51">
        <v>60</v>
      </c>
      <c r="K37" s="51">
        <f t="shared" si="23"/>
        <v>0.600000000000014</v>
      </c>
      <c r="L37" s="51">
        <f t="shared" si="24"/>
        <v>75.6000000000002</v>
      </c>
      <c r="M37" s="40">
        <v>0.69986875</v>
      </c>
      <c r="N37" s="40">
        <f t="shared" si="25"/>
        <v>0.63986875</v>
      </c>
      <c r="O37" s="54">
        <f t="shared" si="26"/>
        <v>48.3740775000001</v>
      </c>
      <c r="P37" s="38" t="s">
        <v>27</v>
      </c>
      <c r="Q37" s="73" t="s">
        <v>48</v>
      </c>
    </row>
    <row r="38" ht="52" customHeight="1" spans="1:18">
      <c r="A38" s="46" t="s">
        <v>29</v>
      </c>
      <c r="B38" s="50">
        <v>1318.41</v>
      </c>
      <c r="C38" s="50">
        <v>1486.62</v>
      </c>
      <c r="D38" s="51">
        <f t="shared" si="20"/>
        <v>168.21</v>
      </c>
      <c r="E38" s="51">
        <v>60</v>
      </c>
      <c r="F38" s="51">
        <f t="shared" si="21"/>
        <v>10092.6</v>
      </c>
      <c r="G38" s="52">
        <v>727.94</v>
      </c>
      <c r="H38" s="50">
        <v>838.66</v>
      </c>
      <c r="I38" s="51">
        <f t="shared" si="22"/>
        <v>110.72</v>
      </c>
      <c r="J38" s="51">
        <v>60</v>
      </c>
      <c r="K38" s="51">
        <f t="shared" si="23"/>
        <v>6643.2</v>
      </c>
      <c r="L38" s="51">
        <f t="shared" si="24"/>
        <v>3449.39999999999</v>
      </c>
      <c r="M38" s="71"/>
      <c r="N38" s="71"/>
      <c r="O38" s="54">
        <f>SUM(O34:O37)</f>
        <v>2207.16326625</v>
      </c>
      <c r="P38" s="41"/>
    </row>
    <row r="39" customFormat="1" ht="37" customHeight="1" spans="1:18">
      <c r="A39" s="60" t="s">
        <v>30</v>
      </c>
      <c r="B39" s="61"/>
      <c r="C39" s="62"/>
      <c r="D39" s="63"/>
      <c r="E39" s="64"/>
      <c r="F39" s="26"/>
      <c r="G39" s="25"/>
      <c r="H39" s="25"/>
      <c r="I39" s="26"/>
      <c r="J39" s="26"/>
      <c r="M39" s="65" t="s">
        <v>31</v>
      </c>
      <c r="N39" s="65"/>
      <c r="O39" s="66" t="s">
        <v>32</v>
      </c>
    </row>
    <row r="40" customFormat="1" ht="37" customHeight="1" spans="1:18">
      <c r="A40" s="60"/>
      <c r="B40" s="61"/>
      <c r="C40" s="62"/>
      <c r="D40" s="63"/>
      <c r="E40" s="64"/>
      <c r="F40" s="26"/>
      <c r="G40" s="25"/>
      <c r="H40" s="25"/>
      <c r="I40" s="26"/>
      <c r="J40" s="26"/>
      <c r="M40" s="67"/>
      <c r="N40" s="65"/>
      <c r="O40" s="66"/>
    </row>
  </sheetData>
  <mergeCells count="20">
    <mergeCell ref="A1:P1"/>
    <mergeCell ref="A2:F2"/>
    <mergeCell ref="G2:K2"/>
    <mergeCell ref="L2:O2"/>
    <mergeCell ref="A9:E9"/>
    <mergeCell ref="A11:P11"/>
    <mergeCell ref="A12:F12"/>
    <mergeCell ref="G12:K12"/>
    <mergeCell ref="L12:O12"/>
    <mergeCell ref="A19:E19"/>
    <mergeCell ref="A21:P21"/>
    <mergeCell ref="A22:F22"/>
    <mergeCell ref="G22:K22"/>
    <mergeCell ref="L22:O22"/>
    <mergeCell ref="A29:E29"/>
    <mergeCell ref="A31:P31"/>
    <mergeCell ref="A32:F32"/>
    <mergeCell ref="G32:K32"/>
    <mergeCell ref="L32:O32"/>
    <mergeCell ref="A39:E39"/>
  </mergeCells>
  <pageMargins left="0.314583333333333" right="0.145138888888889" top="0.724305555555556" bottom="0.747916666666667" header="0.314583333333333" footer="0.314583333333333"/>
  <pageSetup paperSize="9" scale="72" orientation="landscape" horizontalDpi="600"/>
  <headerFooter/>
  <rowBreaks count="3" manualBreakCount="3">
    <brk id="10" max="16383" man="1"/>
    <brk id="20" max="16383" man="1"/>
    <brk id="30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3"/>
  <sheetViews>
    <sheetView tabSelected="1" view="pageBreakPreview" zoomScale="70" zoomScaleNormal="85" workbookViewId="0">
      <selection activeCell="H7" sqref="H7"/>
    </sheetView>
  </sheetViews>
  <sheetFormatPr defaultColWidth="15.6" defaultRowHeight="27.75" customHeight="1"/>
  <cols>
    <col min="1" max="1" width="28.3916666666667" style="1" customWidth="1"/>
    <col min="2" max="2" width="26.9583333333333" style="1" customWidth="1"/>
    <col min="3" max="3" width="36.6083333333333" style="2" customWidth="1"/>
    <col min="4" max="4" width="26.9666666666667" style="1" customWidth="1"/>
    <col min="5" max="5" width="46.0666666666667" style="2" customWidth="1"/>
    <col min="6" max="6" width="15.7083333333333" style="2" customWidth="1"/>
    <col min="7" max="7" width="13.3833333333333" style="2" customWidth="1"/>
    <col min="8" max="8" width="15.175" style="2" customWidth="1"/>
    <col min="9" max="9" width="19.6416666666667" style="3" customWidth="1"/>
    <col min="10" max="10" width="14.45" style="2" customWidth="1"/>
    <col min="11" max="11" width="7.93333333333333" style="4" customWidth="1"/>
    <col min="12" max="12" width="9.40833333333333" style="5" customWidth="1"/>
    <col min="13" max="13" width="9.55833333333333" style="5" customWidth="1"/>
    <col min="14" max="14" width="11.25" style="6" customWidth="1"/>
    <col min="15" max="15" width="11.0583333333333" style="4" customWidth="1"/>
    <col min="16" max="16" width="12.1416666666667" style="5" customWidth="1"/>
    <col min="17" max="17" width="13.75" style="5" customWidth="1"/>
    <col min="18" max="16384" width="15.6" style="5"/>
  </cols>
  <sheetData>
    <row r="1" ht="57" customHeight="1" spans="1:17">
      <c r="A1" s="7" t="s">
        <v>49</v>
      </c>
      <c r="B1" s="7"/>
      <c r="C1" s="7"/>
      <c r="D1" s="7"/>
      <c r="E1" s="7"/>
      <c r="F1" s="7"/>
      <c r="G1" s="7"/>
      <c r="H1" s="7"/>
      <c r="I1" s="8"/>
      <c r="J1" s="7"/>
      <c r="K1" s="9"/>
      <c r="L1" s="9"/>
      <c r="M1" s="9"/>
      <c r="N1" s="9"/>
      <c r="O1" s="9"/>
      <c r="P1" s="9"/>
      <c r="Q1" s="9"/>
    </row>
    <row r="2" customHeight="1" spans="1:17">
      <c r="A2" s="10" t="s">
        <v>15</v>
      </c>
      <c r="B2" s="10" t="s">
        <v>18</v>
      </c>
      <c r="C2" s="10" t="s">
        <v>21</v>
      </c>
      <c r="D2" s="10" t="s">
        <v>24</v>
      </c>
      <c r="E2" s="10" t="s">
        <v>27</v>
      </c>
      <c r="F2" s="11" t="s">
        <v>9</v>
      </c>
      <c r="G2" s="11" t="s">
        <v>10</v>
      </c>
      <c r="H2" s="11" t="s">
        <v>11</v>
      </c>
      <c r="I2" s="12" t="s">
        <v>14</v>
      </c>
      <c r="J2" s="13" t="s">
        <v>50</v>
      </c>
    </row>
    <row r="3" customHeight="1" spans="1:17">
      <c r="A3" s="77" t="str">
        <f>'202601'!Q3</f>
        <v>0948030028524999</v>
      </c>
      <c r="B3" s="77" t="str">
        <f>'202601'!Q4</f>
        <v>0948030041968361</v>
      </c>
      <c r="C3" s="15" t="str">
        <f>'202601'!Q5</f>
        <v>09001SF00000042408595673</v>
      </c>
      <c r="D3" s="77" t="str">
        <f>'202601'!Q6</f>
        <v>0948030042077031</v>
      </c>
      <c r="E3" s="15" t="str">
        <f>'202601'!Q7</f>
        <v>09001SF00000042207356623</v>
      </c>
      <c r="F3" s="15">
        <f>'202601'!F8</f>
        <v>5931.6</v>
      </c>
      <c r="G3" s="15">
        <f>'202601'!K8</f>
        <v>1242</v>
      </c>
      <c r="H3" s="15">
        <f>'202601'!L8</f>
        <v>4689.6</v>
      </c>
      <c r="I3" s="16">
        <f>'202601'!O8</f>
        <v>4118.7059825</v>
      </c>
      <c r="J3" s="15"/>
    </row>
    <row r="4" customHeight="1" spans="1:17">
      <c r="A4" s="77" t="str">
        <f>'202601'!Q13</f>
        <v>0948030028524986</v>
      </c>
      <c r="B4" s="77" t="str">
        <f>'202601'!Q14</f>
        <v>0948030041968260</v>
      </c>
      <c r="C4" s="15" t="str">
        <f>'202601'!Q15</f>
        <v>09001SF00000042408595672</v>
      </c>
      <c r="D4" s="77" t="str">
        <f>'202601'!Q16</f>
        <v>0948030041991233</v>
      </c>
      <c r="E4" s="15" t="str">
        <f>'202601'!Q17</f>
        <v>09001SF00000042207356622</v>
      </c>
      <c r="F4" s="15">
        <f>'202601'!F18</f>
        <v>4019.2</v>
      </c>
      <c r="G4" s="15">
        <f>'202601'!K18</f>
        <v>1480.8</v>
      </c>
      <c r="H4" s="15">
        <f>'202601'!L18</f>
        <v>2538.4</v>
      </c>
      <c r="I4" s="16">
        <f>'202601'!O18</f>
        <v>2057.53857875</v>
      </c>
      <c r="J4" s="15"/>
    </row>
    <row r="5" customHeight="1" spans="1:17">
      <c r="A5" s="77" t="str">
        <f>'202601'!Q23</f>
        <v>0948030027271533</v>
      </c>
      <c r="B5" s="77" t="str">
        <f>'202601'!Q24</f>
        <v>0948030041968273</v>
      </c>
      <c r="C5" s="15" t="str">
        <f>'202601'!Q25</f>
        <v>09001SF00000042408595704</v>
      </c>
      <c r="D5" s="77" t="str">
        <f>'202601'!Q26</f>
        <v>0948030042119702</v>
      </c>
      <c r="E5" s="15" t="str">
        <f>'202601'!Q27</f>
        <v>09001SF00000042207356625</v>
      </c>
      <c r="F5" s="15">
        <f>'202601'!F28</f>
        <v>10462.2</v>
      </c>
      <c r="G5" s="15">
        <f>'202601'!K28</f>
        <v>9970.8</v>
      </c>
      <c r="H5" s="15">
        <f>'202601'!L28</f>
        <v>491.400000000011</v>
      </c>
      <c r="I5" s="16">
        <f>'202601'!O28</f>
        <v>398.837025000003</v>
      </c>
      <c r="J5" s="15"/>
    </row>
    <row r="6" customHeight="1" spans="1:17">
      <c r="A6" s="77" t="str">
        <f>'202601'!Q33</f>
        <v>0948030027271344</v>
      </c>
      <c r="B6" s="77" t="str">
        <f>'202601'!Q34</f>
        <v>0948030041302226</v>
      </c>
      <c r="C6" s="15" t="str">
        <f>'202601'!Q35</f>
        <v>09001SF00000042408595705</v>
      </c>
      <c r="D6" s="77" t="str">
        <f>'202601'!Q36</f>
        <v>0948030041991350</v>
      </c>
      <c r="E6" s="15" t="str">
        <f>'202601'!Q37</f>
        <v>09001SF00000042207356624</v>
      </c>
      <c r="F6" s="15">
        <f>'202601'!F38</f>
        <v>10092.6</v>
      </c>
      <c r="G6" s="15">
        <f>'202601'!K38</f>
        <v>6643.2</v>
      </c>
      <c r="H6" s="15">
        <f>'202601'!L38</f>
        <v>3449.39999999999</v>
      </c>
      <c r="I6" s="16">
        <f>'202601'!O38</f>
        <v>2207.16326625</v>
      </c>
      <c r="J6" s="15"/>
    </row>
    <row r="7" customHeight="1" spans="1:17">
      <c r="A7" s="7" t="s">
        <v>51</v>
      </c>
      <c r="B7" s="7"/>
      <c r="C7" s="7"/>
      <c r="D7" s="7"/>
      <c r="E7" s="7"/>
      <c r="F7" s="7">
        <f>SUM(F3:F6)</f>
        <v>30505.6</v>
      </c>
      <c r="G7" s="7">
        <f>SUM(G3:G6)</f>
        <v>19336.8</v>
      </c>
      <c r="H7" s="7">
        <f>SUM(H3:H6)</f>
        <v>11168.8</v>
      </c>
      <c r="I7" s="8">
        <f>SUM(I3:I6)</f>
        <v>8782.2448525</v>
      </c>
      <c r="J7" s="7"/>
    </row>
    <row r="8" customHeight="1" spans="1:17">
      <c r="A8" s="7" t="s">
        <v>52</v>
      </c>
      <c r="B8" s="7"/>
      <c r="C8" s="7"/>
      <c r="D8" s="7"/>
      <c r="E8" s="7"/>
      <c r="F8" s="7"/>
      <c r="G8" s="7"/>
      <c r="H8" s="7"/>
      <c r="I8" s="8"/>
      <c r="J8" s="7"/>
    </row>
    <row r="9" customHeight="1" spans="1:17">
      <c r="A9" s="77" t="str" cm="1">
        <f t="array" ref="A9:E12">A3:E6</f>
        <v>0948030028524999</v>
      </c>
      <c r="B9" s="77" t="str">
        <v>0948030041968361</v>
      </c>
      <c r="C9" s="15" t="str">
        <v>09001SF00000042408595673</v>
      </c>
      <c r="D9" s="77" t="str">
        <v>0948030042077031</v>
      </c>
      <c r="E9" s="15" t="str">
        <v>09001SF00000042207356623</v>
      </c>
      <c r="F9" s="15"/>
      <c r="G9" s="15"/>
      <c r="H9" s="15"/>
      <c r="I9" s="17"/>
      <c r="J9" s="15"/>
    </row>
    <row r="10" customHeight="1" spans="1:17">
      <c r="A10" s="77" t="str">
        <v>0948030028524986</v>
      </c>
      <c r="B10" s="77" t="str">
        <v>0948030041968260</v>
      </c>
      <c r="C10" s="15" t="str">
        <v>09001SF00000042408595672</v>
      </c>
      <c r="D10" s="77" t="str">
        <v>0948030041991233</v>
      </c>
      <c r="E10" s="15" t="str">
        <v>09001SF00000042207356622</v>
      </c>
      <c r="F10" s="15"/>
      <c r="G10" s="15"/>
      <c r="H10" s="15"/>
      <c r="I10" s="17"/>
      <c r="J10" s="15"/>
    </row>
    <row r="11" customHeight="1" spans="1:17">
      <c r="A11" s="77" t="str">
        <v>0948030027271533</v>
      </c>
      <c r="B11" s="77" t="str">
        <v>0948030041968273</v>
      </c>
      <c r="C11" s="15" t="str">
        <v>09001SF00000042408595704</v>
      </c>
      <c r="D11" s="77" t="str">
        <v>0948030042119702</v>
      </c>
      <c r="E11" s="15" t="str">
        <v>09001SF00000042207356625</v>
      </c>
      <c r="F11" s="15"/>
      <c r="G11" s="15"/>
      <c r="H11" s="15"/>
      <c r="I11" s="17"/>
      <c r="J11" s="15"/>
    </row>
    <row r="12" customHeight="1" spans="1:17">
      <c r="A12" s="77" t="str">
        <v>0948030027271344</v>
      </c>
      <c r="B12" s="77" t="str">
        <v>0948030041302226</v>
      </c>
      <c r="C12" s="15" t="str">
        <v>09001SF00000042408595705</v>
      </c>
      <c r="D12" s="77" t="str">
        <v>0948030041991350</v>
      </c>
      <c r="E12" s="15" t="str">
        <v>09001SF00000042207356624</v>
      </c>
      <c r="F12" s="15"/>
      <c r="G12" s="15"/>
      <c r="H12" s="15"/>
      <c r="I12" s="17"/>
      <c r="J12" s="15"/>
    </row>
    <row r="13" customHeight="1" spans="1:17">
      <c r="A13" s="18" t="s">
        <v>53</v>
      </c>
      <c r="B13" s="18"/>
      <c r="C13" s="18"/>
      <c r="D13" s="18"/>
      <c r="E13" s="18"/>
      <c r="F13" s="18"/>
      <c r="G13" s="18"/>
      <c r="H13" s="18"/>
      <c r="I13" s="19"/>
      <c r="J13" s="18"/>
    </row>
    <row r="14" customHeight="1" spans="1:17">
      <c r="A14" s="77" t="str" cm="1">
        <f t="array" ref="A14:E17">A3:E6</f>
        <v>0948030028524999</v>
      </c>
      <c r="B14" s="77" t="str">
        <v>0948030041968361</v>
      </c>
      <c r="C14" s="15" t="str">
        <v>09001SF00000042408595673</v>
      </c>
      <c r="D14" s="77" t="str">
        <v>0948030042077031</v>
      </c>
      <c r="E14" s="15" t="str">
        <v>09001SF00000042207356623</v>
      </c>
      <c r="F14" s="15"/>
      <c r="G14" s="15"/>
      <c r="H14" s="15"/>
      <c r="I14" s="17"/>
      <c r="J14" s="15"/>
    </row>
    <row r="15" customHeight="1" spans="1:17">
      <c r="A15" s="77" t="str">
        <v>0948030028524986</v>
      </c>
      <c r="B15" s="77" t="str">
        <v>0948030041968260</v>
      </c>
      <c r="C15" s="15" t="str">
        <v>09001SF00000042408595672</v>
      </c>
      <c r="D15" s="77" t="str">
        <v>0948030041991233</v>
      </c>
      <c r="E15" s="15" t="str">
        <v>09001SF00000042207356622</v>
      </c>
      <c r="F15" s="15"/>
      <c r="G15" s="15"/>
      <c r="H15" s="15"/>
      <c r="I15" s="17"/>
      <c r="J15" s="15"/>
    </row>
    <row r="16" customHeight="1" spans="1:17">
      <c r="A16" s="77" t="str">
        <v>0948030027271533</v>
      </c>
      <c r="B16" s="77" t="str">
        <v>0948030041968273</v>
      </c>
      <c r="C16" s="15" t="str">
        <v>09001SF00000042408595704</v>
      </c>
      <c r="D16" s="77" t="str">
        <v>0948030042119702</v>
      </c>
      <c r="E16" s="15" t="str">
        <v>09001SF00000042207356625</v>
      </c>
      <c r="F16" s="15"/>
      <c r="G16" s="15"/>
      <c r="H16" s="15"/>
      <c r="I16" s="17"/>
      <c r="J16" s="15"/>
    </row>
    <row r="17" customHeight="1" spans="1:10">
      <c r="A17" s="77" t="str">
        <v>0948030027271344</v>
      </c>
      <c r="B17" s="77" t="str">
        <v>0948030041302226</v>
      </c>
      <c r="C17" s="15" t="str">
        <v>09001SF00000042408595705</v>
      </c>
      <c r="D17" s="77" t="str">
        <v>0948030041991350</v>
      </c>
      <c r="E17" s="15" t="str">
        <v>09001SF00000042207356624</v>
      </c>
      <c r="F17" s="15"/>
      <c r="G17" s="15"/>
      <c r="H17" s="15"/>
      <c r="I17" s="17"/>
      <c r="J17" s="15"/>
    </row>
    <row r="18" customHeight="1" spans="1:10">
      <c r="A18" s="18" t="s">
        <v>54</v>
      </c>
      <c r="B18" s="18"/>
      <c r="C18" s="18"/>
      <c r="D18" s="18"/>
      <c r="E18" s="18"/>
      <c r="F18" s="18"/>
      <c r="G18" s="18"/>
      <c r="H18" s="18"/>
      <c r="I18" s="19"/>
      <c r="J18" s="18"/>
    </row>
    <row r="19" customHeight="1" spans="1:10">
      <c r="A19" s="77" t="str" cm="1">
        <f t="array" ref="A19:E22">A3:E6</f>
        <v>0948030028524999</v>
      </c>
      <c r="B19" s="77" t="str">
        <v>0948030041968361</v>
      </c>
      <c r="C19" s="15" t="str">
        <v>09001SF00000042408595673</v>
      </c>
      <c r="D19" s="77" t="str">
        <v>0948030042077031</v>
      </c>
      <c r="E19" s="15" t="str">
        <v>09001SF00000042207356623</v>
      </c>
      <c r="F19" s="15"/>
      <c r="G19" s="15"/>
      <c r="H19" s="15"/>
      <c r="I19" s="17"/>
      <c r="J19" s="15"/>
    </row>
    <row r="20" customHeight="1" spans="1:10">
      <c r="A20" s="77" t="str">
        <v>0948030028524986</v>
      </c>
      <c r="B20" s="77" t="str">
        <v>0948030041968260</v>
      </c>
      <c r="C20" s="15" t="str">
        <v>09001SF00000042408595672</v>
      </c>
      <c r="D20" s="77" t="str">
        <v>0948030041991233</v>
      </c>
      <c r="E20" s="15" t="str">
        <v>09001SF00000042207356622</v>
      </c>
      <c r="F20" s="15"/>
      <c r="G20" s="15"/>
      <c r="H20" s="15"/>
      <c r="I20" s="17"/>
      <c r="J20" s="15"/>
    </row>
    <row r="21" customHeight="1" spans="1:10">
      <c r="A21" s="77" t="str">
        <v>0948030027271533</v>
      </c>
      <c r="B21" s="77" t="str">
        <v>0948030041968273</v>
      </c>
      <c r="C21" s="15" t="str">
        <v>09001SF00000042408595704</v>
      </c>
      <c r="D21" s="77" t="str">
        <v>0948030042119702</v>
      </c>
      <c r="E21" s="15" t="str">
        <v>09001SF00000042207356625</v>
      </c>
      <c r="F21" s="15"/>
      <c r="G21" s="15"/>
      <c r="H21" s="15"/>
      <c r="I21" s="17"/>
      <c r="J21" s="15"/>
    </row>
    <row r="22" customHeight="1" spans="1:10">
      <c r="A22" s="77" t="str">
        <v>0948030027271344</v>
      </c>
      <c r="B22" s="77" t="str">
        <v>0948030041302226</v>
      </c>
      <c r="C22" s="15" t="str">
        <v>09001SF00000042408595705</v>
      </c>
      <c r="D22" s="77" t="str">
        <v>0948030041991350</v>
      </c>
      <c r="E22" s="15" t="str">
        <v>09001SF00000042207356624</v>
      </c>
      <c r="F22" s="15"/>
      <c r="G22" s="15"/>
      <c r="H22" s="15"/>
      <c r="I22" s="17"/>
      <c r="J22" s="15"/>
    </row>
    <row r="23" customHeight="1" spans="1:10">
      <c r="A23" s="18" t="s">
        <v>55</v>
      </c>
      <c r="B23" s="18"/>
      <c r="C23" s="18"/>
      <c r="D23" s="18"/>
      <c r="E23" s="18"/>
      <c r="F23" s="18"/>
      <c r="G23" s="18"/>
      <c r="H23" s="18"/>
      <c r="I23" s="19"/>
      <c r="J23" s="18"/>
    </row>
    <row r="24" customHeight="1" spans="1:10">
      <c r="A24" s="77" t="str" cm="1">
        <f t="array" ref="A24:E27">A3:E6</f>
        <v>0948030028524999</v>
      </c>
      <c r="B24" s="77" t="str">
        <v>0948030041968361</v>
      </c>
      <c r="C24" s="15" t="str">
        <v>09001SF00000042408595673</v>
      </c>
      <c r="D24" s="77" t="str">
        <v>0948030042077031</v>
      </c>
      <c r="E24" s="15" t="str">
        <v>09001SF00000042207356623</v>
      </c>
      <c r="F24" s="15"/>
      <c r="G24" s="15"/>
      <c r="H24" s="15"/>
      <c r="I24" s="17"/>
      <c r="J24" s="15"/>
    </row>
    <row r="25" customHeight="1" spans="1:10">
      <c r="A25" s="78" t="str">
        <v>0948030028524986</v>
      </c>
      <c r="B25" s="77" t="str">
        <v>0948030041968260</v>
      </c>
      <c r="C25" s="15" t="str">
        <v>09001SF00000042408595672</v>
      </c>
      <c r="D25" s="77" t="str">
        <v>0948030041991233</v>
      </c>
      <c r="E25" s="15" t="str">
        <v>09001SF00000042207356622</v>
      </c>
      <c r="F25" s="15"/>
      <c r="G25" s="15"/>
      <c r="H25" s="15"/>
      <c r="I25" s="17"/>
      <c r="J25" s="15"/>
    </row>
    <row r="26" customHeight="1" spans="1:10">
      <c r="A26" s="78" t="str">
        <v>0948030027271533</v>
      </c>
      <c r="B26" s="77" t="str">
        <v>0948030041968273</v>
      </c>
      <c r="C26" s="15" t="str">
        <v>09001SF00000042408595704</v>
      </c>
      <c r="D26" s="77" t="str">
        <v>0948030042119702</v>
      </c>
      <c r="E26" s="15" t="str">
        <v>09001SF00000042207356625</v>
      </c>
      <c r="F26" s="15"/>
      <c r="G26" s="15"/>
      <c r="H26" s="15"/>
      <c r="I26" s="17"/>
      <c r="J26" s="15"/>
    </row>
    <row r="27" customHeight="1" spans="1:10">
      <c r="A27" s="78" t="str">
        <v>0948030027271344</v>
      </c>
      <c r="B27" s="77" t="str">
        <v>0948030041302226</v>
      </c>
      <c r="C27" s="15" t="str">
        <v>09001SF00000042408595705</v>
      </c>
      <c r="D27" s="77" t="str">
        <v>0948030041991350</v>
      </c>
      <c r="E27" s="15" t="str">
        <v>09001SF00000042207356624</v>
      </c>
      <c r="F27" s="15"/>
      <c r="G27" s="15"/>
      <c r="H27" s="15"/>
      <c r="I27" s="17"/>
      <c r="J27" s="15"/>
    </row>
    <row r="28" customHeight="1" spans="1:10">
      <c r="A28" s="7" t="s">
        <v>56</v>
      </c>
      <c r="B28" s="7"/>
      <c r="C28" s="7"/>
      <c r="D28" s="7"/>
      <c r="E28" s="7"/>
      <c r="F28" s="7"/>
      <c r="G28" s="7"/>
      <c r="H28" s="7"/>
      <c r="I28" s="8"/>
      <c r="J28" s="7"/>
    </row>
    <row r="29" customHeight="1" spans="1:10">
      <c r="A29" s="77" t="str" cm="1">
        <f t="array" ref="A29:E32">A3:E6</f>
        <v>0948030028524999</v>
      </c>
      <c r="B29" s="77" t="str">
        <v>0948030041968361</v>
      </c>
      <c r="C29" s="15" t="str">
        <v>09001SF00000042408595673</v>
      </c>
      <c r="D29" s="77" t="str">
        <v>0948030042077031</v>
      </c>
      <c r="E29" s="15" t="str">
        <v>09001SF00000042207356623</v>
      </c>
      <c r="F29" s="15"/>
      <c r="G29" s="15"/>
      <c r="H29" s="15"/>
      <c r="I29" s="17"/>
      <c r="J29" s="15"/>
    </row>
    <row r="30" customHeight="1" spans="1:10">
      <c r="A30" s="78" t="str">
        <v>0948030028524986</v>
      </c>
      <c r="B30" s="77" t="str">
        <v>0948030041968260</v>
      </c>
      <c r="C30" s="15" t="str">
        <v>09001SF00000042408595672</v>
      </c>
      <c r="D30" s="77" t="str">
        <v>0948030041991233</v>
      </c>
      <c r="E30" s="15" t="str">
        <v>09001SF00000042207356622</v>
      </c>
      <c r="F30" s="15"/>
      <c r="G30" s="15"/>
      <c r="H30" s="15"/>
      <c r="I30" s="17"/>
      <c r="J30" s="15"/>
    </row>
    <row r="31" customHeight="1" spans="1:10">
      <c r="A31" s="78" t="str">
        <v>0948030027271533</v>
      </c>
      <c r="B31" s="77" t="str">
        <v>0948030041968273</v>
      </c>
      <c r="C31" s="15" t="str">
        <v>09001SF00000042408595704</v>
      </c>
      <c r="D31" s="77" t="str">
        <v>0948030042119702</v>
      </c>
      <c r="E31" s="15" t="str">
        <v>09001SF00000042207356625</v>
      </c>
      <c r="F31" s="15"/>
      <c r="G31" s="15"/>
      <c r="H31" s="15"/>
      <c r="I31" s="17"/>
      <c r="J31" s="15"/>
    </row>
    <row r="32" customHeight="1" spans="1:10">
      <c r="A32" s="78" t="str">
        <v>0948030027271344</v>
      </c>
      <c r="B32" s="77" t="str">
        <v>0948030041302226</v>
      </c>
      <c r="C32" s="15" t="str">
        <v>09001SF00000042408595705</v>
      </c>
      <c r="D32" s="77" t="str">
        <v>0948030041991350</v>
      </c>
      <c r="E32" s="15" t="str">
        <v>09001SF00000042207356624</v>
      </c>
      <c r="F32" s="15"/>
      <c r="G32" s="15"/>
      <c r="H32" s="15"/>
      <c r="I32" s="17"/>
      <c r="J32" s="15"/>
    </row>
    <row r="33" customHeight="1" spans="1:10">
      <c r="A33" s="7" t="s">
        <v>57</v>
      </c>
      <c r="B33" s="7"/>
      <c r="C33" s="7"/>
      <c r="D33" s="7"/>
      <c r="E33" s="7"/>
      <c r="F33" s="7"/>
      <c r="G33" s="7"/>
      <c r="H33" s="7"/>
      <c r="I33" s="8"/>
      <c r="J33" s="7"/>
    </row>
    <row r="34" customHeight="1" spans="1:10">
      <c r="A34" s="20"/>
      <c r="B34" s="14"/>
      <c r="C34" s="15"/>
      <c r="D34" s="14"/>
      <c r="E34" s="15"/>
      <c r="F34" s="15"/>
      <c r="G34" s="15"/>
      <c r="H34" s="15"/>
      <c r="I34" s="17"/>
      <c r="J34" s="15"/>
    </row>
    <row r="35" customHeight="1" spans="1:10">
      <c r="A35" s="20"/>
      <c r="B35" s="14"/>
      <c r="C35" s="15"/>
      <c r="D35" s="14"/>
      <c r="E35" s="15"/>
      <c r="F35" s="15"/>
      <c r="G35" s="15"/>
      <c r="H35" s="15"/>
      <c r="I35" s="17"/>
      <c r="J35" s="15"/>
    </row>
    <row r="36" customHeight="1" spans="1:10">
      <c r="A36" s="20"/>
      <c r="B36" s="14"/>
      <c r="C36" s="15"/>
      <c r="D36" s="14"/>
      <c r="E36" s="15"/>
      <c r="F36" s="15"/>
      <c r="G36" s="15"/>
      <c r="H36" s="15"/>
      <c r="I36" s="17"/>
      <c r="J36" s="15"/>
    </row>
    <row r="37" customHeight="1" spans="1:10">
      <c r="A37" s="20"/>
      <c r="B37" s="14"/>
      <c r="C37" s="15"/>
      <c r="D37" s="14"/>
      <c r="E37" s="15"/>
      <c r="F37" s="15"/>
      <c r="G37" s="15"/>
      <c r="H37" s="15"/>
      <c r="I37" s="17"/>
      <c r="J37" s="15"/>
    </row>
    <row r="38" customHeight="1" spans="1:10">
      <c r="A38" s="7" t="s">
        <v>58</v>
      </c>
      <c r="B38" s="7"/>
      <c r="C38" s="7"/>
      <c r="D38" s="7"/>
      <c r="E38" s="7"/>
      <c r="F38" s="7"/>
      <c r="G38" s="7"/>
      <c r="H38" s="7"/>
      <c r="I38" s="8"/>
      <c r="J38" s="7"/>
    </row>
    <row r="39" customHeight="1" spans="1:10">
      <c r="A39" s="20"/>
      <c r="B39" s="14"/>
      <c r="C39" s="15"/>
      <c r="D39" s="14"/>
      <c r="E39" s="15"/>
      <c r="F39" s="15"/>
      <c r="G39" s="15"/>
      <c r="H39" s="15"/>
      <c r="I39" s="17"/>
      <c r="J39" s="15"/>
    </row>
    <row r="40" customHeight="1" spans="1:10">
      <c r="A40" s="20"/>
      <c r="B40" s="14"/>
      <c r="C40" s="15"/>
      <c r="D40" s="14"/>
      <c r="E40" s="15"/>
      <c r="F40" s="15"/>
      <c r="G40" s="15"/>
      <c r="H40" s="15"/>
      <c r="I40" s="17"/>
      <c r="J40" s="15"/>
    </row>
    <row r="41" customHeight="1" spans="1:10">
      <c r="A41" s="20"/>
      <c r="B41" s="14"/>
      <c r="C41" s="15"/>
      <c r="D41" s="14"/>
      <c r="E41" s="15"/>
      <c r="F41" s="15"/>
      <c r="G41" s="15"/>
      <c r="H41" s="15"/>
      <c r="I41" s="17"/>
      <c r="J41" s="15"/>
    </row>
    <row r="42" customHeight="1" spans="1:10">
      <c r="A42" s="20"/>
      <c r="B42" s="14"/>
      <c r="C42" s="15"/>
      <c r="D42" s="14"/>
      <c r="E42" s="15"/>
      <c r="F42" s="15"/>
      <c r="G42" s="15"/>
      <c r="H42" s="15"/>
      <c r="I42" s="17"/>
      <c r="J42" s="15"/>
    </row>
    <row r="43" customHeight="1" spans="1:10">
      <c r="A43" s="7" t="s">
        <v>59</v>
      </c>
      <c r="B43" s="7"/>
      <c r="C43" s="7"/>
      <c r="D43" s="7"/>
      <c r="E43" s="7"/>
      <c r="F43" s="7"/>
      <c r="G43" s="7"/>
      <c r="H43" s="7"/>
      <c r="I43" s="8"/>
      <c r="J43" s="7"/>
    </row>
    <row r="44" customHeight="1" spans="1:10">
      <c r="A44" s="14"/>
      <c r="B44" s="14"/>
      <c r="C44" s="15"/>
      <c r="D44" s="14"/>
      <c r="E44" s="15"/>
      <c r="F44" s="20"/>
      <c r="G44" s="15"/>
      <c r="H44" s="15"/>
      <c r="I44" s="17"/>
      <c r="J44" s="15"/>
    </row>
    <row r="45" customHeight="1" spans="1:10">
      <c r="A45" s="20"/>
      <c r="B45" s="14"/>
      <c r="C45" s="15"/>
      <c r="D45" s="14"/>
      <c r="E45" s="15"/>
      <c r="F45" s="15"/>
      <c r="G45" s="15"/>
      <c r="H45" s="15"/>
      <c r="I45" s="17"/>
      <c r="J45" s="15"/>
    </row>
    <row r="46" customHeight="1" spans="1:10">
      <c r="A46" s="20"/>
      <c r="B46" s="15"/>
      <c r="C46" s="15"/>
      <c r="D46" s="15"/>
      <c r="E46" s="15"/>
      <c r="F46" s="15"/>
      <c r="G46" s="15"/>
      <c r="H46" s="15"/>
      <c r="I46" s="17"/>
      <c r="J46" s="15"/>
    </row>
    <row r="47" customHeight="1" spans="1:10">
      <c r="A47" s="20"/>
      <c r="B47" s="15"/>
      <c r="C47" s="15"/>
      <c r="D47" s="15"/>
      <c r="E47" s="15"/>
      <c r="F47" s="15"/>
      <c r="G47" s="15"/>
      <c r="H47" s="15"/>
      <c r="I47" s="17"/>
      <c r="J47" s="15"/>
    </row>
    <row r="48" customHeight="1" spans="1:10">
      <c r="A48" s="7" t="s">
        <v>60</v>
      </c>
      <c r="B48" s="7"/>
      <c r="C48" s="7"/>
      <c r="D48" s="7"/>
      <c r="E48" s="7"/>
      <c r="F48" s="7"/>
      <c r="G48" s="7"/>
      <c r="H48" s="7"/>
      <c r="I48" s="8"/>
      <c r="J48" s="7"/>
    </row>
    <row r="49" customHeight="1" spans="1:16">
      <c r="A49" s="20"/>
      <c r="B49" s="15"/>
      <c r="C49" s="15"/>
      <c r="D49" s="15"/>
      <c r="E49" s="15"/>
      <c r="F49" s="15"/>
      <c r="G49" s="15"/>
      <c r="H49" s="15"/>
      <c r="I49" s="17"/>
      <c r="J49" s="15"/>
    </row>
    <row r="50" customHeight="1" spans="1:16">
      <c r="A50" s="20"/>
      <c r="B50" s="15"/>
      <c r="C50" s="15"/>
      <c r="D50" s="15"/>
      <c r="E50" s="15"/>
      <c r="F50" s="15"/>
      <c r="G50" s="15"/>
      <c r="H50" s="15"/>
      <c r="I50" s="17"/>
      <c r="J50" s="15"/>
    </row>
    <row r="51" customHeight="1" spans="1:16">
      <c r="A51" s="20"/>
      <c r="B51" s="15"/>
      <c r="C51" s="15"/>
      <c r="D51" s="15"/>
      <c r="E51" s="15"/>
      <c r="F51" s="15"/>
      <c r="G51" s="15"/>
      <c r="H51" s="15"/>
      <c r="I51" s="17"/>
      <c r="J51" s="15"/>
    </row>
    <row r="52" customHeight="1" spans="1:16">
      <c r="A52" s="20"/>
      <c r="B52" s="15"/>
      <c r="C52" s="15"/>
      <c r="D52" s="15"/>
      <c r="E52" s="15"/>
      <c r="F52" s="15"/>
      <c r="G52" s="15"/>
      <c r="H52" s="15"/>
      <c r="I52" s="17"/>
      <c r="J52" s="15"/>
    </row>
    <row r="53" customHeight="1" spans="1:16">
      <c r="A53" s="7" t="s">
        <v>61</v>
      </c>
      <c r="B53" s="7"/>
      <c r="C53" s="7"/>
      <c r="D53" s="7"/>
      <c r="E53" s="7"/>
      <c r="F53" s="7"/>
      <c r="G53" s="7"/>
      <c r="H53" s="7"/>
      <c r="I53" s="8"/>
      <c r="J53" s="7"/>
    </row>
    <row r="54" customHeight="1" spans="1:16">
      <c r="A54" s="20"/>
      <c r="B54" s="14"/>
      <c r="C54" s="15"/>
      <c r="D54" s="14"/>
      <c r="E54" s="15"/>
      <c r="F54" s="15"/>
      <c r="G54" s="15"/>
      <c r="H54" s="15"/>
      <c r="I54" s="17"/>
      <c r="J54" s="15"/>
    </row>
    <row r="55" customHeight="1" spans="1:16">
      <c r="A55" s="20"/>
      <c r="B55" s="14"/>
      <c r="C55" s="15"/>
      <c r="D55" s="14"/>
      <c r="E55" s="15"/>
      <c r="F55" s="15"/>
      <c r="G55" s="15"/>
      <c r="H55" s="15"/>
      <c r="I55" s="17"/>
      <c r="J55" s="15"/>
    </row>
    <row r="56" customHeight="1" spans="1:16">
      <c r="A56" s="20"/>
      <c r="B56" s="14"/>
      <c r="C56" s="15"/>
      <c r="D56" s="14"/>
      <c r="E56" s="15"/>
      <c r="F56" s="15"/>
      <c r="G56" s="15"/>
      <c r="H56" s="15"/>
      <c r="I56" s="17"/>
      <c r="J56" s="15"/>
    </row>
    <row r="57" customHeight="1" spans="1:16">
      <c r="A57" s="20"/>
      <c r="B57" s="14"/>
      <c r="C57" s="15"/>
      <c r="D57" s="14"/>
      <c r="E57" s="15"/>
      <c r="F57" s="15"/>
      <c r="G57" s="15"/>
      <c r="H57" s="15"/>
      <c r="I57" s="17"/>
      <c r="J57" s="15"/>
    </row>
    <row r="58" customHeight="1" spans="1:16">
      <c r="A58" s="7" t="s">
        <v>62</v>
      </c>
      <c r="B58" s="7"/>
      <c r="C58" s="7"/>
      <c r="D58" s="7"/>
      <c r="E58" s="7"/>
      <c r="F58" s="7"/>
      <c r="G58" s="7"/>
      <c r="H58" s="7"/>
      <c r="I58" s="8"/>
      <c r="J58" s="7"/>
    </row>
    <row r="59" customHeight="1" spans="1:16">
      <c r="A59" s="20"/>
      <c r="B59" s="14"/>
      <c r="C59" s="15"/>
      <c r="D59" s="14"/>
      <c r="E59" s="15"/>
      <c r="F59" s="15"/>
      <c r="G59" s="15"/>
      <c r="H59" s="15"/>
      <c r="I59" s="17"/>
      <c r="J59" s="15"/>
    </row>
    <row r="60" customHeight="1" spans="1:16">
      <c r="A60" s="20"/>
      <c r="B60" s="14"/>
      <c r="C60" s="15"/>
      <c r="D60" s="14"/>
      <c r="E60" s="15"/>
      <c r="F60" s="15"/>
      <c r="G60" s="15"/>
      <c r="H60" s="15"/>
      <c r="I60" s="17"/>
      <c r="J60" s="15"/>
    </row>
    <row r="61" customHeight="1" spans="1:16">
      <c r="A61" s="20"/>
      <c r="B61" s="14"/>
      <c r="C61" s="15"/>
      <c r="D61" s="14"/>
      <c r="E61" s="15"/>
      <c r="F61" s="15"/>
      <c r="G61" s="15"/>
      <c r="H61" s="15"/>
      <c r="I61" s="17"/>
      <c r="J61" s="15"/>
    </row>
    <row r="62" customHeight="1" spans="1:16">
      <c r="A62" s="20"/>
      <c r="B62" s="14"/>
      <c r="C62" s="15"/>
      <c r="D62" s="14"/>
      <c r="E62" s="15"/>
      <c r="F62" s="15"/>
      <c r="G62" s="15"/>
      <c r="H62" s="15"/>
      <c r="I62" s="17"/>
      <c r="J62" s="15"/>
    </row>
    <row r="63" customHeight="1" spans="1:16">
      <c r="K63" s="21"/>
      <c r="L63" s="22"/>
      <c r="M63" s="22"/>
      <c r="N63" s="23"/>
      <c r="O63" s="21"/>
      <c r="P63" s="22"/>
    </row>
    <row r="64" customHeight="1" spans="1:16">
      <c r="K64" s="21"/>
      <c r="L64" s="22"/>
      <c r="M64" s="22"/>
      <c r="N64" s="23"/>
      <c r="O64" s="21"/>
      <c r="P64" s="22"/>
    </row>
    <row r="65" customHeight="1" spans="11:16">
      <c r="K65" s="21"/>
      <c r="L65" s="22"/>
      <c r="M65" s="22"/>
      <c r="N65" s="23"/>
      <c r="O65" s="21"/>
      <c r="P65" s="22"/>
    </row>
    <row r="66" customHeight="1" spans="11:16">
      <c r="K66" s="21"/>
      <c r="L66" s="22"/>
      <c r="M66" s="22"/>
      <c r="N66" s="23"/>
      <c r="O66" s="21"/>
      <c r="P66" s="22"/>
    </row>
    <row r="67" customHeight="1" spans="11:16">
      <c r="K67" s="21"/>
      <c r="L67" s="22"/>
      <c r="M67" s="22"/>
      <c r="N67" s="23"/>
      <c r="O67" s="21"/>
      <c r="P67" s="22"/>
    </row>
    <row r="68" customHeight="1" spans="11:16">
      <c r="K68" s="21"/>
      <c r="L68" s="22"/>
      <c r="M68" s="22"/>
      <c r="N68" s="23"/>
      <c r="O68" s="21"/>
      <c r="P68" s="22"/>
    </row>
    <row r="69" customHeight="1" spans="11:16">
      <c r="K69" s="21"/>
      <c r="L69" s="22"/>
      <c r="M69" s="22"/>
      <c r="N69" s="23"/>
      <c r="O69" s="21"/>
      <c r="P69" s="22"/>
    </row>
    <row r="70" customHeight="1" spans="11:16">
      <c r="K70" s="21"/>
      <c r="L70" s="22"/>
      <c r="M70" s="22"/>
      <c r="N70" s="23"/>
      <c r="O70" s="21"/>
      <c r="P70" s="22"/>
    </row>
    <row r="71" customHeight="1" spans="11:16">
      <c r="K71" s="21"/>
      <c r="L71" s="22"/>
      <c r="M71" s="22"/>
      <c r="N71" s="23"/>
      <c r="O71" s="21"/>
      <c r="P71" s="22"/>
    </row>
    <row r="72" customHeight="1" spans="11:16">
      <c r="K72" s="21"/>
      <c r="L72" s="22"/>
      <c r="M72" s="22"/>
      <c r="N72" s="23"/>
      <c r="O72" s="21"/>
      <c r="P72" s="22"/>
    </row>
    <row r="73" customHeight="1" spans="11:16">
      <c r="K73" s="21"/>
      <c r="L73" s="22"/>
      <c r="M73" s="22"/>
      <c r="N73" s="23"/>
      <c r="O73" s="21"/>
      <c r="P73" s="22"/>
    </row>
  </sheetData>
  <mergeCells count="12">
    <mergeCell ref="A1:J1"/>
    <mergeCell ref="A8:J8"/>
    <mergeCell ref="A13:J13"/>
    <mergeCell ref="A18:J18"/>
    <mergeCell ref="A23:J23"/>
    <mergeCell ref="A28:J28"/>
    <mergeCell ref="A33:J33"/>
    <mergeCell ref="A38:J38"/>
    <mergeCell ref="A43:J43"/>
    <mergeCell ref="A48:J48"/>
    <mergeCell ref="A53:J53"/>
    <mergeCell ref="A58:J58"/>
  </mergeCells>
  <pageMargins left="0.314583333333333" right="0.145138888888889" top="0.724305555555556" bottom="0.747916666666667" header="0.314583333333333" footer="0.314583333333333"/>
  <pageSetup paperSize="9" scale="50" orientation="landscape" horizontalDpi="600"/>
  <headerFooter/>
  <rowBreaks count="1" manualBreakCount="1">
    <brk id="52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202601</vt:lpstr>
      <vt:lpstr>每月汇总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曹贤奎</cp:lastModifiedBy>
  <dcterms:created xsi:type="dcterms:W3CDTF">2008-09-11T17:22:00Z</dcterms:created>
  <cp:lastPrinted>2022-11-14T05:54:00Z</cp:lastPrinted>
  <dcterms:modified xsi:type="dcterms:W3CDTF">2026-02-28T03:17:48Z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57A5241268854BA186F1967B6F22089A_13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