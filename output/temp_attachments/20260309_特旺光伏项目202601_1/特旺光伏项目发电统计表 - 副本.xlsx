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 firstSheet="9" activeTab="10"/>
  </bookViews>
  <sheets>
    <sheet name="202504" sheetId="67" r:id="rId1"/>
    <sheet name="202504 特" sheetId="71" r:id="rId2"/>
    <sheet name="202505" sheetId="69" r:id="rId3"/>
    <sheet name="202505特旺" sheetId="70" r:id="rId4"/>
    <sheet name="202506特旺 (2)" sheetId="72" r:id="rId5"/>
    <sheet name="202507特旺 (3)" sheetId="73" r:id="rId6"/>
    <sheet name="202508特旺 (3)" sheetId="75" r:id="rId7"/>
    <sheet name="202509特旺 (2)" sheetId="74" r:id="rId8"/>
    <sheet name="202510特旺 (3)" sheetId="76" r:id="rId9"/>
    <sheet name="202511特旺 (2)" sheetId="77" r:id="rId10"/>
    <sheet name="202512特旺" sheetId="78" r:id="rId11"/>
    <sheet name="每月汇总" sheetId="79" r:id="rId12"/>
  </sheets>
  <definedNames>
    <definedName name="_xlnm.Print_Area" localSheetId="11">每月汇总!$A$1:$J$19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<sst xmlns="http://schemas.openxmlformats.org/spreadsheetml/2006/main" count="383" uniqueCount="67">
  <si>
    <t>特旺光伏项目发电统计表（2025年4月）</t>
  </si>
  <si>
    <t>正向数据</t>
  </si>
  <si>
    <t>反向数据</t>
  </si>
  <si>
    <r>
      <rPr>
        <sz val="11"/>
        <color theme="1"/>
        <rFont val="宋体"/>
        <charset val="134"/>
      </rPr>
      <t>自发用电量/金额</t>
    </r>
    <r>
      <rPr>
        <sz val="11"/>
        <color theme="1"/>
        <rFont val="Tahoma"/>
        <charset val="134"/>
      </rPr>
      <t xml:space="preserve"> </t>
    </r>
  </si>
  <si>
    <t>供电局上网</t>
  </si>
  <si>
    <t>类别</t>
  </si>
  <si>
    <t>上月表数</t>
  </si>
  <si>
    <t>本月表数</t>
  </si>
  <si>
    <t>电表用理</t>
  </si>
  <si>
    <t>倍率</t>
  </si>
  <si>
    <t>用电量</t>
  </si>
  <si>
    <t>实际用电数</t>
  </si>
  <si>
    <t>电价</t>
  </si>
  <si>
    <t>金额</t>
  </si>
  <si>
    <t>上网电价</t>
  </si>
  <si>
    <t>上网金额</t>
  </si>
  <si>
    <t>正有功尖峰</t>
  </si>
  <si>
    <t>正有功峰</t>
  </si>
  <si>
    <t>正有功平</t>
  </si>
  <si>
    <t>正有功谷</t>
  </si>
  <si>
    <t>正有功总</t>
  </si>
  <si>
    <t>发电总量-反向数据上网电量*电价*9折。                                            折后价</t>
  </si>
  <si>
    <r>
      <rPr>
        <sz val="11"/>
        <color theme="1"/>
        <rFont val="宋体"/>
        <charset val="134"/>
      </rPr>
      <t>联系电话：</t>
    </r>
    <r>
      <rPr>
        <sz val="11"/>
        <color theme="1"/>
        <rFont val="Tahoma"/>
        <charset val="134"/>
      </rPr>
      <t>18938973683</t>
    </r>
  </si>
  <si>
    <t>制作：</t>
  </si>
  <si>
    <t>曹贤奎</t>
  </si>
  <si>
    <t>特旺光伏项目发电统计表（2025年5月）</t>
  </si>
  <si>
    <t>发电量</t>
  </si>
  <si>
    <t>9折，折后价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</si>
  <si>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</si>
  <si>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月</t>
    </r>
  </si>
  <si>
    <t>上网电量</t>
  </si>
  <si>
    <t>特旺光伏项目发电统计表（2025年6月）</t>
  </si>
  <si>
    <t>特旺光伏项目发电统计表（2025年7月）</t>
  </si>
  <si>
    <t>尖峰</t>
  </si>
  <si>
    <t>峰</t>
  </si>
  <si>
    <t>平</t>
  </si>
  <si>
    <t>谷</t>
  </si>
  <si>
    <t>电量电费</t>
  </si>
  <si>
    <t>输配电费</t>
  </si>
  <si>
    <t>上网环节线损电费</t>
  </si>
  <si>
    <t>系统运行费用</t>
  </si>
  <si>
    <t>基金及附加费单价</t>
  </si>
  <si>
    <t>特旺光伏项目发电统计表（2025年8月）</t>
  </si>
  <si>
    <t>特旺光伏项目发电统计表（2025年9月）</t>
  </si>
  <si>
    <t>特旺光伏项目发电统计表（2025年10月）</t>
  </si>
  <si>
    <t>特旺光伏项目发电统计表（2025年11月）</t>
  </si>
  <si>
    <t>特旺光伏项目发电统计表（2025年12月）</t>
  </si>
  <si>
    <t>2025年4月特旺光伏项目发电统计表</t>
  </si>
  <si>
    <t>用户号</t>
  </si>
  <si>
    <t>发电表号</t>
  </si>
  <si>
    <t>发电表资产编号</t>
  </si>
  <si>
    <t>上网表号</t>
  </si>
  <si>
    <t>上网表资产号</t>
  </si>
  <si>
    <t>上网费</t>
  </si>
  <si>
    <t>0319009900152123</t>
  </si>
  <si>
    <t>0319700337706620</t>
  </si>
  <si>
    <t>03591SF00000002402908536</t>
  </si>
  <si>
    <t>0319700356999007</t>
  </si>
  <si>
    <t>03001SG00011312000002494</t>
  </si>
  <si>
    <t>2025年5月特旺光伏项目发电统计表</t>
  </si>
  <si>
    <t>2025年6月特旺光伏项目发电统计表</t>
  </si>
  <si>
    <t>2025年7月特旺光伏项目发电统计表</t>
  </si>
  <si>
    <t>2025年8月特旺光伏项目发电统计表</t>
  </si>
  <si>
    <t>2025年9月特旺光伏项目发电统计表</t>
  </si>
  <si>
    <t>2025年10月特旺光伏项目发电统计表</t>
  </si>
  <si>
    <t>2025年11月特旺光伏项目发电统计表</t>
  </si>
  <si>
    <t>2025年12月特旺光伏项目发电统计表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</si>
</sst>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  <numFmt numFmtId="178" formatCode="0.00000000_);[Red]\(0.00000000\)"/>
  </numFmts>
  <fonts count="49">
    <font>
      <sz val="11"/>
      <color theme="1"/>
      <name val="Tahoma"/>
      <charset val="134"/>
    </font>
    <font>
      <sz val="11"/>
      <name val="Tahoma"/>
      <charset val="134"/>
    </font>
    <font>
      <sz val="11"/>
      <color rgb="FFFF0000"/>
      <name val="Tahoma"/>
      <charset val="134"/>
    </font>
    <font>
      <b/>
      <sz val="2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color theme="1"/>
      <name val="Tahoma"/>
      <charset val="134"/>
    </font>
    <font>
      <sz val="16"/>
      <name val="Tahoma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Tahoma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b/>
      <sz val="11"/>
      <color rgb="FFFF0000"/>
      <name val="Tahoma"/>
      <charset val="134"/>
    </font>
    <font>
      <b/>
      <sz val="12"/>
      <name val="宋体"/>
      <charset val="134"/>
    </font>
    <font>
      <sz val="11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6" borderId="10" applyNumberFormat="0" applyAlignment="0" applyProtection="0">
      <alignment vertical="center"/>
    </xf>
    <xf numFmtId="0" fontId="28" fillId="6" borderId="9" applyNumberFormat="0" applyAlignment="0" applyProtection="0">
      <alignment vertical="center"/>
    </xf>
    <xf numFmtId="0" fontId="29" fillId="7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6" borderId="10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37" fillId="6" borderId="10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9" applyNumberFormat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8" fillId="5" borderId="9" applyNumberFormat="0" applyAlignment="0" applyProtection="0">
      <alignment vertical="center"/>
    </xf>
    <xf numFmtId="0" fontId="48" fillId="5" borderId="9" applyNumberFormat="0" applyAlignment="0" applyProtection="0">
      <alignment vertical="center"/>
    </xf>
    <xf numFmtId="0" fontId="17" fillId="4" borderId="6" applyNumberFormat="0" applyFont="0" applyAlignment="0" applyProtection="0">
      <alignment vertical="center"/>
    </xf>
    <xf numFmtId="0" fontId="17" fillId="4" borderId="6" applyNumberFormat="0" applyFont="0" applyAlignment="0" applyProtection="0">
      <alignment vertical="center"/>
    </xf>
  </cellStyleXfs>
  <cellXfs count="64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78" fontId="0" fillId="0" borderId="2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77" fontId="14" fillId="0" borderId="2" xfId="0" applyNumberFormat="1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3" fillId="0" borderId="0" xfId="0" applyFont="1" applyFill="1" applyAlignment="1">
      <alignment horizontal="left"/>
    </xf>
    <xf numFmtId="176" fontId="2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6" fillId="3" borderId="2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/>
    <xf numFmtId="176" fontId="1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2" xfId="0" applyFont="1" applyFill="1" applyBorder="1" applyAlignment="1" quotePrefix="1">
      <alignment horizontal="center" vertical="center" wrapText="1"/>
    </xf>
    <xf numFmtId="0" fontId="6" fillId="0" borderId="2" xfId="0" applyFont="1" applyFill="1" applyBorder="1" applyAlignment="1" quotePrefix="1">
      <alignment horizontal="center" vertical="center"/>
    </xf>
    <xf numFmtId="0" fontId="7" fillId="0" borderId="2" xfId="0" applyFont="1" applyFill="1" applyBorder="1" applyAlignment="1" quotePrefix="1">
      <alignment horizontal="center" vertical="center" wrapText="1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5" zoomScaleNormal="85" topLeftCell="A3" workbookViewId="0">
      <selection activeCell="Q8" sqref="Q8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5" width="11.9083333333333" customWidth="1"/>
    <col min="16" max="16" width="7.79166666666667" customWidth="1"/>
    <col min="17" max="17" width="8.375" customWidth="1"/>
    <col min="18" max="18" width="38.2333333333333" customWidth="1"/>
  </cols>
  <sheetData>
    <row r="1" ht="24" customHeight="1" spans="1:2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ht="30" customHeight="1" spans="1:20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  <c r="P2" s="57" t="s">
        <v>4</v>
      </c>
      <c r="Q2" s="58"/>
    </row>
    <row r="3" ht="62" customHeight="1" spans="1:20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10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28" t="s">
        <v>11</v>
      </c>
      <c r="N3" s="29" t="s">
        <v>12</v>
      </c>
      <c r="O3" s="27" t="s">
        <v>13</v>
      </c>
      <c r="P3" s="59" t="s">
        <v>14</v>
      </c>
      <c r="Q3" s="59" t="s">
        <v>15</v>
      </c>
      <c r="R3" s="63"/>
      <c r="S3" s="63"/>
    </row>
    <row r="4" ht="62" customHeight="1" spans="1:20">
      <c r="A4" s="32" t="s">
        <v>16</v>
      </c>
      <c r="B4" s="36">
        <v>0</v>
      </c>
      <c r="C4" s="36">
        <v>55.63</v>
      </c>
      <c r="D4" s="36">
        <f t="shared" ref="D4:D8" si="0">C4-B4</f>
        <v>55.63</v>
      </c>
      <c r="E4" s="51">
        <v>100</v>
      </c>
      <c r="F4" s="36">
        <f>D4*E4</f>
        <v>5563</v>
      </c>
      <c r="G4" s="52"/>
      <c r="H4" s="62">
        <v>0</v>
      </c>
      <c r="I4" s="33">
        <v>0.06</v>
      </c>
      <c r="J4" s="51">
        <f t="shared" ref="J4:J8" si="1">I4-H4</f>
        <v>0.06</v>
      </c>
      <c r="K4" s="51">
        <v>1000</v>
      </c>
      <c r="L4" s="36">
        <f>J4*K4</f>
        <v>60</v>
      </c>
      <c r="M4" s="36">
        <f t="shared" ref="M4:M8" si="2">F4-L4</f>
        <v>5503</v>
      </c>
      <c r="N4" s="53">
        <f>0.696848+0.2142+0.0411+0.02766875+0.0257</f>
        <v>1.00551675</v>
      </c>
      <c r="O4" s="36">
        <f>M4*N4</f>
        <v>5533.35867525</v>
      </c>
      <c r="P4" s="60">
        <v>0.453</v>
      </c>
      <c r="Q4" s="60">
        <f t="shared" ref="Q4:Q8" si="3">P4*L4</f>
        <v>27.18</v>
      </c>
      <c r="R4" s="38"/>
      <c r="S4" s="54"/>
    </row>
    <row r="5" ht="62" customHeight="1" spans="1:20">
      <c r="A5" s="32" t="s">
        <v>17</v>
      </c>
      <c r="B5" s="36">
        <v>0</v>
      </c>
      <c r="C5" s="33">
        <v>51.3</v>
      </c>
      <c r="D5" s="36">
        <f t="shared" si="0"/>
        <v>51.3</v>
      </c>
      <c r="E5" s="51">
        <v>100</v>
      </c>
      <c r="F5" s="36">
        <f>D5*E5</f>
        <v>5130</v>
      </c>
      <c r="G5" s="52"/>
      <c r="H5" s="62">
        <v>0</v>
      </c>
      <c r="I5" s="33">
        <v>0.06</v>
      </c>
      <c r="J5" s="51">
        <f t="shared" si="1"/>
        <v>0.06</v>
      </c>
      <c r="K5" s="51">
        <v>1000</v>
      </c>
      <c r="L5" s="36">
        <f>J5*K5</f>
        <v>60</v>
      </c>
      <c r="M5" s="36">
        <f t="shared" si="2"/>
        <v>5070</v>
      </c>
      <c r="N5" s="53">
        <f>0.696848+0.2142+0.0411+0.02766875+0.0257</f>
        <v>1.00551675</v>
      </c>
      <c r="O5" s="36">
        <f>M5*N5</f>
        <v>5097.9699225</v>
      </c>
      <c r="P5" s="60">
        <v>0.453</v>
      </c>
      <c r="Q5" s="60">
        <f t="shared" si="3"/>
        <v>27.18</v>
      </c>
      <c r="R5" s="38"/>
      <c r="S5" s="54"/>
      <c r="T5" s="55"/>
    </row>
    <row r="6" ht="62" customHeight="1" spans="1:20">
      <c r="A6" s="32" t="s">
        <v>18</v>
      </c>
      <c r="B6" s="36">
        <v>0</v>
      </c>
      <c r="C6" s="33">
        <v>79.23</v>
      </c>
      <c r="D6" s="36">
        <f t="shared" si="0"/>
        <v>79.23</v>
      </c>
      <c r="E6" s="51">
        <v>100</v>
      </c>
      <c r="F6" s="36">
        <f>D6*E6</f>
        <v>7923</v>
      </c>
      <c r="G6" s="52"/>
      <c r="H6" s="62">
        <v>0</v>
      </c>
      <c r="I6" s="33">
        <v>0.14</v>
      </c>
      <c r="J6" s="51">
        <f t="shared" si="1"/>
        <v>0.14</v>
      </c>
      <c r="K6" s="51">
        <v>1000</v>
      </c>
      <c r="L6" s="36">
        <f>J6*K6</f>
        <v>140</v>
      </c>
      <c r="M6" s="36">
        <f t="shared" si="2"/>
        <v>7783</v>
      </c>
      <c r="N6" s="53">
        <f>0.40991+0.126+0.02766875+0.0151+0.0242</f>
        <v>0.60287875</v>
      </c>
      <c r="O6" s="36">
        <f>M6*N6</f>
        <v>4692.20531125</v>
      </c>
      <c r="P6" s="60">
        <v>0.453</v>
      </c>
      <c r="Q6" s="60">
        <f t="shared" si="3"/>
        <v>63.42</v>
      </c>
      <c r="R6" s="38"/>
      <c r="S6" s="54"/>
    </row>
    <row r="7" ht="62" customHeight="1" spans="1:20">
      <c r="A7" s="32" t="s">
        <v>19</v>
      </c>
      <c r="B7" s="36">
        <v>0</v>
      </c>
      <c r="C7" s="33">
        <v>7.12</v>
      </c>
      <c r="D7" s="36">
        <f t="shared" si="0"/>
        <v>7.12</v>
      </c>
      <c r="E7" s="51">
        <v>100</v>
      </c>
      <c r="F7" s="36">
        <f>D7*E7</f>
        <v>712</v>
      </c>
      <c r="G7" s="52"/>
      <c r="H7" s="62">
        <v>0</v>
      </c>
      <c r="I7" s="33">
        <v>0.01</v>
      </c>
      <c r="J7" s="51">
        <f t="shared" si="1"/>
        <v>0.01</v>
      </c>
      <c r="K7" s="51">
        <v>1000</v>
      </c>
      <c r="L7" s="36">
        <f>J7*K7</f>
        <v>10</v>
      </c>
      <c r="M7" s="36">
        <f t="shared" si="2"/>
        <v>702</v>
      </c>
      <c r="N7" s="53">
        <f>0.155766+0.0479+0.0057+0.0092+0.02766875</f>
        <v>0.24623475</v>
      </c>
      <c r="O7" s="36">
        <f>M7*N7</f>
        <v>172.8567945</v>
      </c>
      <c r="P7" s="60">
        <v>0.453</v>
      </c>
      <c r="Q7" s="60">
        <f t="shared" si="3"/>
        <v>4.53</v>
      </c>
      <c r="R7" s="38"/>
      <c r="S7" s="54"/>
    </row>
    <row r="8" ht="62" customHeight="1" spans="1:20">
      <c r="A8" s="32" t="s">
        <v>20</v>
      </c>
      <c r="B8" s="36">
        <v>0</v>
      </c>
      <c r="C8" s="36">
        <f>SUM(C4:C7)</f>
        <v>193.28</v>
      </c>
      <c r="D8" s="36">
        <v>193.29</v>
      </c>
      <c r="E8" s="51">
        <v>100</v>
      </c>
      <c r="F8" s="36">
        <f>D8*E8</f>
        <v>19329</v>
      </c>
      <c r="G8" s="52"/>
      <c r="H8" s="62">
        <v>0</v>
      </c>
      <c r="I8" s="56">
        <v>0.28</v>
      </c>
      <c r="J8" s="51">
        <f t="shared" si="1"/>
        <v>0.28</v>
      </c>
      <c r="K8" s="51">
        <v>1000</v>
      </c>
      <c r="L8" s="36">
        <f>J8*K8</f>
        <v>280</v>
      </c>
      <c r="M8" s="42">
        <f t="shared" si="2"/>
        <v>19049</v>
      </c>
      <c r="N8" s="41"/>
      <c r="O8" s="42">
        <f>SUM(O4:O7)</f>
        <v>15496.3907035</v>
      </c>
      <c r="P8" s="60">
        <v>0.453</v>
      </c>
      <c r="Q8" s="60">
        <f t="shared" si="3"/>
        <v>126.84</v>
      </c>
      <c r="R8" s="45"/>
      <c r="S8" s="45"/>
    </row>
    <row r="9" ht="36" customHeight="1" spans="1:20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13946.75163315</v>
      </c>
      <c r="P9" s="43"/>
      <c r="Q9" s="43"/>
      <c r="R9" s="45"/>
      <c r="S9" s="45"/>
    </row>
    <row r="10" ht="37" customHeight="1" spans="1:20">
      <c r="A10" s="47" t="s">
        <v>22</v>
      </c>
      <c r="B10" s="48"/>
      <c r="C10" s="48"/>
      <c r="D10" s="48"/>
      <c r="E10" s="48"/>
      <c r="O10" s="49" t="s">
        <v>23</v>
      </c>
      <c r="P10" s="49" t="s">
        <v>24</v>
      </c>
    </row>
    <row r="11" customHeight="1" spans="1:20">
      <c r="R11">
        <f>0.69589+0.2142+0.026+0.02766875+0.0445</f>
        <v>1.00825875</v>
      </c>
    </row>
    <row r="12" customHeight="1" spans="1:20">
      <c r="R12">
        <f>0.409347+0.126+0.02766875+0.0153+0.0262</f>
        <v>0.60451575</v>
      </c>
    </row>
    <row r="13" customHeight="1" spans="1:20">
      <c r="R13">
        <f>0.155552+0.0479+0.0058+0.01+0.02766875</f>
        <v>0.24692075</v>
      </c>
    </row>
    <row r="16" customHeight="1" spans="1:20">
      <c r="R16">
        <f>O8/M8</f>
        <v>0.813501533072602</v>
      </c>
    </row>
  </sheetData>
  <mergeCells count="9">
    <mergeCell ref="A1:Q1"/>
    <mergeCell ref="A2:F2"/>
    <mergeCell ref="H2:L2"/>
    <mergeCell ref="M2:O2"/>
    <mergeCell ref="P2:Q2"/>
    <mergeCell ref="A9:N9"/>
    <mergeCell ref="O9:Q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4.2666666666667" customWidth="1"/>
    <col min="16" max="16" width="38.2333333333333" customWidth="1"/>
  </cols>
  <sheetData>
    <row r="1" ht="24" customHeight="1" spans="1:18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18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62" customHeight="1" spans="1:18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10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28" t="s">
        <v>11</v>
      </c>
      <c r="N3" s="29" t="s">
        <v>12</v>
      </c>
      <c r="O3" s="27" t="s">
        <v>13</v>
      </c>
      <c r="P3" s="38"/>
      <c r="Q3" s="54"/>
    </row>
    <row r="4" ht="62" customHeight="1" spans="1:18">
      <c r="A4" s="32" t="s">
        <v>16</v>
      </c>
      <c r="B4" s="36">
        <v>0</v>
      </c>
      <c r="C4" s="36">
        <v>55.63</v>
      </c>
      <c r="D4" s="36">
        <f t="shared" ref="D4:D7" si="0">C4-B4</f>
        <v>55.63</v>
      </c>
      <c r="E4" s="51">
        <v>100</v>
      </c>
      <c r="F4" s="36">
        <f t="shared" ref="F4:F8" si="1">D4*E4</f>
        <v>5563</v>
      </c>
      <c r="G4" s="52"/>
      <c r="H4" s="62">
        <v>0</v>
      </c>
      <c r="I4" s="33">
        <v>0.06</v>
      </c>
      <c r="J4" s="51">
        <f t="shared" ref="J4:J8" si="2">I4-H4</f>
        <v>0.06</v>
      </c>
      <c r="K4" s="51">
        <v>1000</v>
      </c>
      <c r="L4" s="36">
        <f t="shared" ref="L4:L8" si="3">J4*K4</f>
        <v>60</v>
      </c>
      <c r="M4" s="36">
        <f t="shared" ref="M4:M8" si="4">F4-L4</f>
        <v>5503</v>
      </c>
      <c r="N4" s="53">
        <f>0.696848+0.2142+0.0411+0.02766875+0.0257</f>
        <v>1.00551675</v>
      </c>
      <c r="O4" s="36">
        <f t="shared" ref="O4:O7" si="5">M4*N4</f>
        <v>5533.35867525</v>
      </c>
      <c r="P4" s="38"/>
      <c r="Q4" s="54"/>
    </row>
    <row r="5" ht="62" customHeight="1" spans="1:18">
      <c r="A5" s="32" t="s">
        <v>17</v>
      </c>
      <c r="B5" s="36">
        <v>0</v>
      </c>
      <c r="C5" s="33">
        <v>51.3</v>
      </c>
      <c r="D5" s="36">
        <f t="shared" si="0"/>
        <v>51.3</v>
      </c>
      <c r="E5" s="51">
        <v>100</v>
      </c>
      <c r="F5" s="36">
        <f t="shared" si="1"/>
        <v>5130</v>
      </c>
      <c r="G5" s="52"/>
      <c r="H5" s="62">
        <v>0</v>
      </c>
      <c r="I5" s="33">
        <v>0.06</v>
      </c>
      <c r="J5" s="51">
        <f t="shared" si="2"/>
        <v>0.06</v>
      </c>
      <c r="K5" s="51">
        <v>1000</v>
      </c>
      <c r="L5" s="36">
        <f t="shared" si="3"/>
        <v>60</v>
      </c>
      <c r="M5" s="36">
        <f t="shared" si="4"/>
        <v>5070</v>
      </c>
      <c r="N5" s="53">
        <f>0.696848+0.2142+0.0411+0.02766875+0.0257</f>
        <v>1.00551675</v>
      </c>
      <c r="O5" s="36">
        <f t="shared" si="5"/>
        <v>5097.9699225</v>
      </c>
      <c r="P5" s="38"/>
      <c r="Q5" s="54"/>
      <c r="R5" s="55"/>
    </row>
    <row r="6" ht="62" customHeight="1" spans="1:18">
      <c r="A6" s="32" t="s">
        <v>18</v>
      </c>
      <c r="B6" s="36">
        <v>0</v>
      </c>
      <c r="C6" s="33">
        <v>79.23</v>
      </c>
      <c r="D6" s="36">
        <f t="shared" si="0"/>
        <v>79.23</v>
      </c>
      <c r="E6" s="51">
        <v>100</v>
      </c>
      <c r="F6" s="36">
        <f t="shared" si="1"/>
        <v>7923</v>
      </c>
      <c r="G6" s="52"/>
      <c r="H6" s="62">
        <v>0</v>
      </c>
      <c r="I6" s="33">
        <v>0.14</v>
      </c>
      <c r="J6" s="51">
        <f t="shared" si="2"/>
        <v>0.14</v>
      </c>
      <c r="K6" s="51">
        <v>1000</v>
      </c>
      <c r="L6" s="36">
        <f t="shared" si="3"/>
        <v>140</v>
      </c>
      <c r="M6" s="36">
        <f t="shared" si="4"/>
        <v>7783</v>
      </c>
      <c r="N6" s="53">
        <f>0.40991+0.126+0.02766875+0.0151+0.0242</f>
        <v>0.60287875</v>
      </c>
      <c r="O6" s="36">
        <f t="shared" si="5"/>
        <v>4692.20531125</v>
      </c>
      <c r="P6" s="38"/>
      <c r="Q6" s="54"/>
    </row>
    <row r="7" ht="62" customHeight="1" spans="1:18">
      <c r="A7" s="32" t="s">
        <v>19</v>
      </c>
      <c r="B7" s="36">
        <v>0</v>
      </c>
      <c r="C7" s="33">
        <v>7.12</v>
      </c>
      <c r="D7" s="36">
        <f t="shared" si="0"/>
        <v>7.12</v>
      </c>
      <c r="E7" s="51">
        <v>100</v>
      </c>
      <c r="F7" s="36">
        <f t="shared" si="1"/>
        <v>712</v>
      </c>
      <c r="G7" s="52"/>
      <c r="H7" s="62">
        <v>0</v>
      </c>
      <c r="I7" s="33">
        <v>0.01</v>
      </c>
      <c r="J7" s="51">
        <f t="shared" si="2"/>
        <v>0.01</v>
      </c>
      <c r="K7" s="51">
        <v>1000</v>
      </c>
      <c r="L7" s="36">
        <f t="shared" si="3"/>
        <v>10</v>
      </c>
      <c r="M7" s="36">
        <f t="shared" si="4"/>
        <v>702</v>
      </c>
      <c r="N7" s="53">
        <f>0.155766+0.0479+0.0057+0.0092+0.02766875</f>
        <v>0.24623475</v>
      </c>
      <c r="O7" s="36">
        <f t="shared" si="5"/>
        <v>172.8567945</v>
      </c>
      <c r="P7" s="38"/>
      <c r="Q7" s="54"/>
    </row>
    <row r="8" ht="62" customHeight="1" spans="1:18">
      <c r="A8" s="32" t="s">
        <v>20</v>
      </c>
      <c r="B8" s="36">
        <v>0</v>
      </c>
      <c r="C8" s="36">
        <f>SUM(C4:C7)</f>
        <v>193.28</v>
      </c>
      <c r="D8" s="36">
        <v>193.29</v>
      </c>
      <c r="E8" s="51">
        <v>100</v>
      </c>
      <c r="F8" s="36">
        <f t="shared" si="1"/>
        <v>19329</v>
      </c>
      <c r="G8" s="52"/>
      <c r="H8" s="62">
        <v>0</v>
      </c>
      <c r="I8" s="56">
        <v>0.28</v>
      </c>
      <c r="J8" s="51">
        <f t="shared" si="2"/>
        <v>0.28</v>
      </c>
      <c r="K8" s="51">
        <v>1000</v>
      </c>
      <c r="L8" s="36">
        <f t="shared" si="3"/>
        <v>280</v>
      </c>
      <c r="M8" s="42">
        <f t="shared" si="4"/>
        <v>19049</v>
      </c>
      <c r="N8" s="41"/>
      <c r="O8" s="42">
        <f>SUM(O4:O7)</f>
        <v>15496.3907035</v>
      </c>
      <c r="P8" s="38"/>
      <c r="Q8" s="45"/>
    </row>
    <row r="9" ht="36" customHeight="1" spans="1:18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13946.75163315</v>
      </c>
      <c r="P9" s="45"/>
      <c r="Q9" s="45"/>
    </row>
    <row r="10" ht="37" customHeight="1" spans="1:18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  <row r="11" customHeight="1" spans="1:18">
      <c r="P11">
        <f>0.69589+0.2142+0.026+0.02766875+0.0445</f>
        <v>1.00825875</v>
      </c>
    </row>
    <row r="12" customHeight="1" spans="1:18">
      <c r="P12">
        <f>0.409347+0.126+0.02766875+0.0153+0.0262</f>
        <v>0.60451575</v>
      </c>
    </row>
    <row r="13" customHeight="1" spans="1:18">
      <c r="P13">
        <f>0.155552+0.0479+0.0058+0.01+0.02766875</f>
        <v>0.24692075</v>
      </c>
    </row>
    <row r="16" customHeight="1" spans="1:18">
      <c r="P16">
        <f>O8/M8</f>
        <v>0.813501533072602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5" width="11.9083333333333" customWidth="1"/>
    <col min="16" max="16" width="7.79166666666667" customWidth="1"/>
    <col min="17" max="17" width="8.375" customWidth="1"/>
    <col min="18" max="18" width="38.2333333333333" customWidth="1"/>
  </cols>
  <sheetData>
    <row r="1" ht="24" customHeight="1" spans="1:20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ht="30" customHeight="1" spans="1:20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  <c r="P2" s="57" t="s">
        <v>4</v>
      </c>
      <c r="Q2" s="58"/>
    </row>
    <row r="3" ht="62" customHeight="1" spans="1:20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10</v>
      </c>
      <c r="M3" s="28" t="s">
        <v>11</v>
      </c>
      <c r="N3" s="29" t="s">
        <v>12</v>
      </c>
      <c r="O3" s="27" t="s">
        <v>13</v>
      </c>
      <c r="P3" s="59" t="s">
        <v>14</v>
      </c>
      <c r="Q3" s="59" t="s">
        <v>15</v>
      </c>
      <c r="R3" s="38"/>
      <c r="S3" s="54"/>
    </row>
    <row r="4" ht="62" customHeight="1" spans="1:20">
      <c r="A4" s="32" t="s">
        <v>16</v>
      </c>
      <c r="B4" s="36">
        <v>55.63</v>
      </c>
      <c r="C4" s="36">
        <v>124</v>
      </c>
      <c r="D4" s="36">
        <f t="shared" ref="D4:D7" si="0">C4-B4</f>
        <v>68.37</v>
      </c>
      <c r="E4" s="51">
        <v>100</v>
      </c>
      <c r="F4" s="36">
        <f t="shared" ref="F4:F8" si="1">D4*E4</f>
        <v>6837</v>
      </c>
      <c r="G4" s="52"/>
      <c r="H4" s="33">
        <v>0.06</v>
      </c>
      <c r="I4" s="33">
        <v>0.7</v>
      </c>
      <c r="J4" s="51">
        <f t="shared" ref="J4:J8" si="2">I4-H4</f>
        <v>0.64</v>
      </c>
      <c r="K4" s="51">
        <v>1000</v>
      </c>
      <c r="L4" s="36">
        <f t="shared" ref="L4:L8" si="3">J4*K4</f>
        <v>640</v>
      </c>
      <c r="M4" s="36">
        <f t="shared" ref="M4:M8" si="4">F4-L4</f>
        <v>6197</v>
      </c>
      <c r="N4" s="53">
        <v>1.00825875</v>
      </c>
      <c r="O4" s="36">
        <f t="shared" ref="O4:O7" si="5">M4*N4</f>
        <v>6248.17947375</v>
      </c>
      <c r="P4" s="60">
        <v>0.453</v>
      </c>
      <c r="Q4" s="60">
        <f t="shared" ref="Q4:Q8" si="6">P4*L4</f>
        <v>289.92</v>
      </c>
      <c r="R4" s="38"/>
      <c r="S4" s="54"/>
    </row>
    <row r="5" ht="62" customHeight="1" spans="1:20">
      <c r="A5" s="32" t="s">
        <v>17</v>
      </c>
      <c r="B5" s="33">
        <v>51.3</v>
      </c>
      <c r="C5" s="33">
        <v>119.7</v>
      </c>
      <c r="D5" s="36">
        <f t="shared" si="0"/>
        <v>68.4</v>
      </c>
      <c r="E5" s="51">
        <v>100</v>
      </c>
      <c r="F5" s="36">
        <f t="shared" si="1"/>
        <v>6840</v>
      </c>
      <c r="G5" s="52"/>
      <c r="H5" s="33">
        <v>0.06</v>
      </c>
      <c r="I5" s="33">
        <v>0.71</v>
      </c>
      <c r="J5" s="51">
        <f t="shared" si="2"/>
        <v>0.65</v>
      </c>
      <c r="K5" s="51">
        <v>1000</v>
      </c>
      <c r="L5" s="36">
        <f t="shared" si="3"/>
        <v>650</v>
      </c>
      <c r="M5" s="36">
        <f t="shared" si="4"/>
        <v>6190</v>
      </c>
      <c r="N5" s="53">
        <v>1.00825875</v>
      </c>
      <c r="O5" s="36">
        <f t="shared" si="5"/>
        <v>6241.1216625</v>
      </c>
      <c r="P5" s="60">
        <v>0.453</v>
      </c>
      <c r="Q5" s="60">
        <f t="shared" si="6"/>
        <v>294.45</v>
      </c>
      <c r="R5" s="38"/>
      <c r="S5" s="54"/>
      <c r="T5" s="55"/>
    </row>
    <row r="6" ht="62" customHeight="1" spans="1:20">
      <c r="A6" s="32" t="s">
        <v>18</v>
      </c>
      <c r="B6" s="33">
        <v>79.23</v>
      </c>
      <c r="C6" s="33">
        <v>200.24</v>
      </c>
      <c r="D6" s="36">
        <f t="shared" si="0"/>
        <v>121.01</v>
      </c>
      <c r="E6" s="51">
        <v>100</v>
      </c>
      <c r="F6" s="36">
        <f t="shared" si="1"/>
        <v>12101</v>
      </c>
      <c r="G6" s="52"/>
      <c r="H6" s="33">
        <v>0.14</v>
      </c>
      <c r="I6" s="33">
        <v>1.25</v>
      </c>
      <c r="J6" s="51">
        <f t="shared" si="2"/>
        <v>1.11</v>
      </c>
      <c r="K6" s="51">
        <v>1000</v>
      </c>
      <c r="L6" s="36">
        <f t="shared" si="3"/>
        <v>1110</v>
      </c>
      <c r="M6" s="36">
        <f t="shared" si="4"/>
        <v>10991</v>
      </c>
      <c r="N6" s="53">
        <v>0.60451575</v>
      </c>
      <c r="O6" s="36">
        <f t="shared" si="5"/>
        <v>6644.23260825</v>
      </c>
      <c r="P6" s="60">
        <v>0.453</v>
      </c>
      <c r="Q6" s="60">
        <f t="shared" si="6"/>
        <v>502.83</v>
      </c>
      <c r="R6" s="38"/>
      <c r="S6" s="54"/>
    </row>
    <row r="7" ht="62" customHeight="1" spans="1:20">
      <c r="A7" s="32" t="s">
        <v>19</v>
      </c>
      <c r="B7" s="33">
        <v>7.12</v>
      </c>
      <c r="C7" s="33">
        <v>21.72</v>
      </c>
      <c r="D7" s="36">
        <f t="shared" si="0"/>
        <v>14.6</v>
      </c>
      <c r="E7" s="51">
        <v>100</v>
      </c>
      <c r="F7" s="36">
        <f t="shared" si="1"/>
        <v>1460</v>
      </c>
      <c r="G7" s="52"/>
      <c r="H7" s="33">
        <v>0.01</v>
      </c>
      <c r="I7" s="33">
        <v>0.12</v>
      </c>
      <c r="J7" s="51">
        <f t="shared" si="2"/>
        <v>0.11</v>
      </c>
      <c r="K7" s="51">
        <v>1000</v>
      </c>
      <c r="L7" s="36">
        <f t="shared" si="3"/>
        <v>110</v>
      </c>
      <c r="M7" s="36">
        <f t="shared" si="4"/>
        <v>1350</v>
      </c>
      <c r="N7" s="53">
        <v>0.24692075</v>
      </c>
      <c r="O7" s="36">
        <f t="shared" si="5"/>
        <v>333.3430125</v>
      </c>
      <c r="P7" s="60">
        <v>0.453</v>
      </c>
      <c r="Q7" s="60">
        <f t="shared" si="6"/>
        <v>49.83</v>
      </c>
      <c r="R7" s="38"/>
      <c r="S7" s="54"/>
    </row>
    <row r="8" ht="62" customHeight="1" spans="1:20">
      <c r="A8" s="32" t="s">
        <v>20</v>
      </c>
      <c r="B8" s="36">
        <f>SUM(B4:B7)</f>
        <v>193.28</v>
      </c>
      <c r="C8" s="36">
        <f>465.67</f>
        <v>465.67</v>
      </c>
      <c r="D8" s="36">
        <v>193.29</v>
      </c>
      <c r="E8" s="51">
        <v>100</v>
      </c>
      <c r="F8" s="36">
        <f>SUM(F4:F7)</f>
        <v>27238</v>
      </c>
      <c r="G8" s="52"/>
      <c r="H8" s="56">
        <v>0.28</v>
      </c>
      <c r="I8" s="56">
        <f>2.79</f>
        <v>2.79</v>
      </c>
      <c r="J8" s="51">
        <f t="shared" si="2"/>
        <v>2.51</v>
      </c>
      <c r="K8" s="51">
        <v>1000</v>
      </c>
      <c r="L8" s="36">
        <f t="shared" si="3"/>
        <v>2510</v>
      </c>
      <c r="M8" s="42">
        <f t="shared" si="4"/>
        <v>24728</v>
      </c>
      <c r="N8" s="41"/>
      <c r="O8" s="42">
        <f>SUM(O4:O7)</f>
        <v>19466.876757</v>
      </c>
      <c r="P8" s="60">
        <v>0.453</v>
      </c>
      <c r="Q8" s="60">
        <f t="shared" si="6"/>
        <v>1137.03</v>
      </c>
      <c r="R8" s="45"/>
      <c r="S8" s="45"/>
    </row>
    <row r="9" ht="36" customHeight="1" spans="1:20">
      <c r="A9" s="43" t="s">
        <v>27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17520.1890813</v>
      </c>
      <c r="P9" s="43"/>
      <c r="Q9" s="43"/>
      <c r="R9" s="45"/>
      <c r="S9" s="45"/>
    </row>
    <row r="10" ht="37" customHeight="1" spans="1:20">
      <c r="A10" s="47" t="s">
        <v>22</v>
      </c>
      <c r="B10" s="48"/>
      <c r="C10" s="48"/>
      <c r="D10" s="48"/>
      <c r="E10" s="48"/>
      <c r="O10" s="49" t="s">
        <v>23</v>
      </c>
      <c r="P10" s="49" t="s">
        <v>24</v>
      </c>
    </row>
    <row r="11" customHeight="1" spans="1:20">
      <c r="R11">
        <f>0.69589+0.2142+0.026+0.02766875+0.0445</f>
        <v>1.00825875</v>
      </c>
    </row>
    <row r="12" customHeight="1" spans="1:20">
      <c r="R12">
        <f>0.409347+0.126+0.02766875+0.0153+0.0262</f>
        <v>0.60451575</v>
      </c>
    </row>
    <row r="13" customHeight="1" spans="1:20">
      <c r="M13" s="61" t="s">
        <v>28</v>
      </c>
      <c r="N13">
        <f>'202504 特'!O8/'202504 特'!M8</f>
        <v>0.813501533072602</v>
      </c>
      <c r="R13">
        <f>0.155552+0.0479+0.0058+0.01+0.02766875</f>
        <v>0.24692075</v>
      </c>
    </row>
    <row r="14" customHeight="1" spans="1:20">
      <c r="M14" s="61" t="s">
        <v>29</v>
      </c>
      <c r="N14">
        <f>O8/M8</f>
        <v>0.787240244136202</v>
      </c>
    </row>
    <row r="16" customHeight="1" spans="1:20">
      <c r="R16">
        <f>O8/M8</f>
        <v>0.787240244136202</v>
      </c>
    </row>
  </sheetData>
  <mergeCells count="10">
    <mergeCell ref="A1:Q1"/>
    <mergeCell ref="A2:F2"/>
    <mergeCell ref="H2:L2"/>
    <mergeCell ref="M2:O2"/>
    <mergeCell ref="P2:Q2"/>
    <mergeCell ref="R3:S3"/>
    <mergeCell ref="A9:N9"/>
    <mergeCell ref="O9:Q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6" width="38.2333333333333" customWidth="1"/>
  </cols>
  <sheetData>
    <row r="1" ht="24" customHeight="1" spans="1:18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18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62" customHeight="1" spans="1:18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P3" s="38"/>
      <c r="Q3" s="54"/>
    </row>
    <row r="4" ht="62" customHeight="1" spans="1:18">
      <c r="A4" s="32" t="s">
        <v>16</v>
      </c>
      <c r="B4" s="36">
        <v>55.63</v>
      </c>
      <c r="C4" s="36">
        <v>124</v>
      </c>
      <c r="D4" s="36">
        <f t="shared" ref="D4:D7" si="0">C4-B4</f>
        <v>68.37</v>
      </c>
      <c r="E4" s="51">
        <v>100</v>
      </c>
      <c r="F4" s="36">
        <f t="shared" ref="F4:F8" si="1">D4*E4</f>
        <v>6837</v>
      </c>
      <c r="G4" s="52"/>
      <c r="H4" s="33">
        <v>0.06</v>
      </c>
      <c r="I4" s="33">
        <v>0.7</v>
      </c>
      <c r="J4" s="51">
        <f t="shared" ref="J4:J8" si="2">I4-H4</f>
        <v>0.64</v>
      </c>
      <c r="K4" s="51">
        <v>1000</v>
      </c>
      <c r="L4" s="36">
        <f t="shared" ref="L4:L8" si="3">J4*K4</f>
        <v>640</v>
      </c>
      <c r="M4" s="36">
        <f t="shared" ref="M4:M8" si="4">F4-L4</f>
        <v>6197</v>
      </c>
      <c r="N4" s="53">
        <v>1.00825875</v>
      </c>
      <c r="O4" s="36">
        <f t="shared" ref="O4:O7" si="5">M4*N4</f>
        <v>6248.17947375</v>
      </c>
      <c r="P4" s="38"/>
      <c r="Q4" s="54"/>
    </row>
    <row r="5" ht="62" customHeight="1" spans="1:18">
      <c r="A5" s="32" t="s">
        <v>17</v>
      </c>
      <c r="B5" s="33">
        <v>51.3</v>
      </c>
      <c r="C5" s="33">
        <v>119.7</v>
      </c>
      <c r="D5" s="36">
        <f t="shared" si="0"/>
        <v>68.4</v>
      </c>
      <c r="E5" s="51">
        <v>100</v>
      </c>
      <c r="F5" s="36">
        <f t="shared" si="1"/>
        <v>6840</v>
      </c>
      <c r="G5" s="52"/>
      <c r="H5" s="33">
        <v>0.06</v>
      </c>
      <c r="I5" s="33">
        <v>0.71</v>
      </c>
      <c r="J5" s="51">
        <f t="shared" si="2"/>
        <v>0.65</v>
      </c>
      <c r="K5" s="51">
        <v>1000</v>
      </c>
      <c r="L5" s="36">
        <f t="shared" si="3"/>
        <v>650</v>
      </c>
      <c r="M5" s="36">
        <f t="shared" si="4"/>
        <v>6190</v>
      </c>
      <c r="N5" s="53">
        <v>1.00825875</v>
      </c>
      <c r="O5" s="36">
        <f t="shared" si="5"/>
        <v>6241.1216625</v>
      </c>
      <c r="P5" s="38"/>
      <c r="Q5" s="54"/>
      <c r="R5" s="55"/>
    </row>
    <row r="6" ht="62" customHeight="1" spans="1:18">
      <c r="A6" s="32" t="s">
        <v>18</v>
      </c>
      <c r="B6" s="33">
        <v>79.23</v>
      </c>
      <c r="C6" s="33">
        <v>200.24</v>
      </c>
      <c r="D6" s="36">
        <f t="shared" si="0"/>
        <v>121.01</v>
      </c>
      <c r="E6" s="51">
        <v>100</v>
      </c>
      <c r="F6" s="36">
        <f t="shared" si="1"/>
        <v>12101</v>
      </c>
      <c r="G6" s="52"/>
      <c r="H6" s="33">
        <v>0.14</v>
      </c>
      <c r="I6" s="33">
        <v>1.25</v>
      </c>
      <c r="J6" s="51">
        <f t="shared" si="2"/>
        <v>1.11</v>
      </c>
      <c r="K6" s="51">
        <v>1000</v>
      </c>
      <c r="L6" s="36">
        <f t="shared" si="3"/>
        <v>1110</v>
      </c>
      <c r="M6" s="36">
        <f t="shared" si="4"/>
        <v>10991</v>
      </c>
      <c r="N6" s="53">
        <v>0.60451575</v>
      </c>
      <c r="O6" s="36">
        <f t="shared" si="5"/>
        <v>6644.23260825</v>
      </c>
      <c r="P6" s="38"/>
      <c r="Q6" s="54"/>
    </row>
    <row r="7" ht="62" customHeight="1" spans="1:18">
      <c r="A7" s="32" t="s">
        <v>19</v>
      </c>
      <c r="B7" s="33">
        <v>7.12</v>
      </c>
      <c r="C7" s="33">
        <v>21.72</v>
      </c>
      <c r="D7" s="36">
        <f t="shared" si="0"/>
        <v>14.6</v>
      </c>
      <c r="E7" s="51">
        <v>100</v>
      </c>
      <c r="F7" s="36">
        <f t="shared" si="1"/>
        <v>1460</v>
      </c>
      <c r="G7" s="52"/>
      <c r="H7" s="33">
        <v>0.01</v>
      </c>
      <c r="I7" s="33">
        <v>0.12</v>
      </c>
      <c r="J7" s="51">
        <f t="shared" si="2"/>
        <v>0.11</v>
      </c>
      <c r="K7" s="51">
        <v>1000</v>
      </c>
      <c r="L7" s="36">
        <f t="shared" si="3"/>
        <v>110</v>
      </c>
      <c r="M7" s="36">
        <v>1350</v>
      </c>
      <c r="N7" s="53">
        <v>0.24692075</v>
      </c>
      <c r="O7" s="36">
        <f t="shared" si="5"/>
        <v>333.3430125</v>
      </c>
      <c r="P7" s="38"/>
      <c r="Q7" s="54"/>
    </row>
    <row r="8" ht="62" customHeight="1" spans="1:18">
      <c r="A8" s="32" t="s">
        <v>20</v>
      </c>
      <c r="B8" s="36">
        <f>SUM(B4:B7)</f>
        <v>193.28</v>
      </c>
      <c r="C8" s="36">
        <f>465.67</f>
        <v>465.67</v>
      </c>
      <c r="D8" s="36">
        <v>193.29</v>
      </c>
      <c r="E8" s="51">
        <v>100</v>
      </c>
      <c r="F8" s="36">
        <f>SUM(F4:F7)</f>
        <v>27238</v>
      </c>
      <c r="G8" s="52"/>
      <c r="H8" s="56">
        <v>0.28</v>
      </c>
      <c r="I8" s="56">
        <f>2.79</f>
        <v>2.79</v>
      </c>
      <c r="J8" s="51">
        <f t="shared" si="2"/>
        <v>2.51</v>
      </c>
      <c r="K8" s="51">
        <v>1000</v>
      </c>
      <c r="L8" s="36">
        <f t="shared" si="3"/>
        <v>2510</v>
      </c>
      <c r="M8" s="42">
        <f>SUM(M4:M7)</f>
        <v>24728</v>
      </c>
      <c r="N8" s="41"/>
      <c r="O8" s="42">
        <f>SUM(O4:O7)</f>
        <v>19466.876757</v>
      </c>
      <c r="P8" s="38"/>
      <c r="Q8" s="54"/>
    </row>
    <row r="9" ht="36" customHeight="1" spans="1:18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17520.1890813</v>
      </c>
      <c r="P9" s="45"/>
      <c r="Q9" s="45"/>
    </row>
    <row r="10" ht="37" customHeight="1" spans="1:18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  <row r="11" customHeight="1" spans="1:18">
      <c r="P11">
        <f>0.69589+0.2142+0.026+0.02766875+0.0445</f>
        <v>1.00825875</v>
      </c>
    </row>
    <row r="12" customHeight="1" spans="1:18">
      <c r="P12">
        <f>0.409347+0.126+0.02766875+0.0153+0.0262</f>
        <v>0.60451575</v>
      </c>
    </row>
    <row r="13" customHeight="1" spans="1:18">
      <c r="P13">
        <f>0.155552+0.0479+0.0058+0.01+0.02766875</f>
        <v>0.24692075</v>
      </c>
    </row>
    <row r="14" customHeight="1" spans="1:18">
      <c r="M14">
        <f>O8/M8</f>
        <v>0.787240244136202</v>
      </c>
    </row>
    <row r="16" customHeight="1" spans="1:18">
      <c r="P16">
        <f>O8/M8</f>
        <v>0.787240244136202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6" width="38.2333333333333" customWidth="1"/>
  </cols>
  <sheetData>
    <row r="1" ht="24" customHeight="1" spans="1:18">
      <c r="A1" s="20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18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62" customHeight="1" spans="1:18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P3" s="38"/>
      <c r="Q3" s="54"/>
    </row>
    <row r="4" ht="62" customHeight="1" spans="1:18">
      <c r="A4" s="32" t="s">
        <v>16</v>
      </c>
      <c r="B4" s="36">
        <v>124</v>
      </c>
      <c r="C4" s="33">
        <v>207.29</v>
      </c>
      <c r="D4" s="36">
        <f t="shared" ref="D4:D7" si="0">C4-B4</f>
        <v>83.29</v>
      </c>
      <c r="E4" s="51">
        <v>100</v>
      </c>
      <c r="F4" s="36">
        <f t="shared" ref="F4:F7" si="1">D4*E4</f>
        <v>8329</v>
      </c>
      <c r="G4" s="52"/>
      <c r="H4" s="33">
        <v>0.7</v>
      </c>
      <c r="I4" s="33">
        <v>1.28</v>
      </c>
      <c r="J4" s="51">
        <f t="shared" ref="J4:J8" si="2">I4-H4</f>
        <v>0.58</v>
      </c>
      <c r="K4" s="51">
        <v>1000</v>
      </c>
      <c r="L4" s="36">
        <f t="shared" ref="L4:L8" si="3">J4*K4</f>
        <v>580</v>
      </c>
      <c r="M4" s="36">
        <f t="shared" ref="M4:M6" si="4">F4-L4</f>
        <v>7749</v>
      </c>
      <c r="N4" s="53">
        <v>1.2333235</v>
      </c>
      <c r="O4" s="36">
        <f t="shared" ref="O4:O7" si="5">M4*N4</f>
        <v>9557.0238015</v>
      </c>
      <c r="P4" s="38"/>
      <c r="Q4" s="54"/>
    </row>
    <row r="5" ht="62" customHeight="1" spans="1:18">
      <c r="A5" s="32" t="s">
        <v>17</v>
      </c>
      <c r="B5" s="33">
        <v>119.7</v>
      </c>
      <c r="C5" s="33">
        <v>200.63</v>
      </c>
      <c r="D5" s="36">
        <f t="shared" si="0"/>
        <v>80.93</v>
      </c>
      <c r="E5" s="51">
        <v>100</v>
      </c>
      <c r="F5" s="36">
        <f t="shared" si="1"/>
        <v>8093</v>
      </c>
      <c r="G5" s="52"/>
      <c r="H5" s="33">
        <v>0.71</v>
      </c>
      <c r="I5" s="33">
        <v>1.19</v>
      </c>
      <c r="J5" s="51">
        <f t="shared" si="2"/>
        <v>0.48</v>
      </c>
      <c r="K5" s="51">
        <v>1000</v>
      </c>
      <c r="L5" s="36">
        <f t="shared" si="3"/>
        <v>480</v>
      </c>
      <c r="M5" s="36">
        <f t="shared" si="4"/>
        <v>7613</v>
      </c>
      <c r="N5" s="53">
        <v>1.00168375</v>
      </c>
      <c r="O5" s="36">
        <f t="shared" si="5"/>
        <v>7625.81838875</v>
      </c>
      <c r="P5" s="38"/>
      <c r="Q5" s="54"/>
      <c r="R5" s="55"/>
    </row>
    <row r="6" ht="62" customHeight="1" spans="1:18">
      <c r="A6" s="32" t="s">
        <v>18</v>
      </c>
      <c r="B6" s="33">
        <v>200.24</v>
      </c>
      <c r="C6" s="33">
        <v>334.22</v>
      </c>
      <c r="D6" s="36">
        <f t="shared" si="0"/>
        <v>133.98</v>
      </c>
      <c r="E6" s="51">
        <v>100</v>
      </c>
      <c r="F6" s="36">
        <f t="shared" si="1"/>
        <v>13398</v>
      </c>
      <c r="G6" s="52"/>
      <c r="H6" s="33">
        <v>1.25</v>
      </c>
      <c r="I6" s="33">
        <v>2.4</v>
      </c>
      <c r="J6" s="51">
        <f t="shared" si="2"/>
        <v>1.15</v>
      </c>
      <c r="K6" s="51">
        <v>1000</v>
      </c>
      <c r="L6" s="36">
        <f t="shared" si="3"/>
        <v>1150</v>
      </c>
      <c r="M6" s="36">
        <f t="shared" si="4"/>
        <v>12248</v>
      </c>
      <c r="N6" s="53">
        <v>0.60062475</v>
      </c>
      <c r="O6" s="36">
        <f t="shared" si="5"/>
        <v>7356.451938</v>
      </c>
      <c r="P6" s="38"/>
      <c r="Q6" s="54"/>
    </row>
    <row r="7" ht="62" customHeight="1" spans="1:18">
      <c r="A7" s="32" t="s">
        <v>19</v>
      </c>
      <c r="B7" s="33">
        <v>21.72</v>
      </c>
      <c r="C7" s="33">
        <v>38.31</v>
      </c>
      <c r="D7" s="36">
        <f t="shared" si="0"/>
        <v>16.59</v>
      </c>
      <c r="E7" s="51">
        <v>100</v>
      </c>
      <c r="F7" s="36">
        <f t="shared" si="1"/>
        <v>1659</v>
      </c>
      <c r="G7" s="52"/>
      <c r="H7" s="33">
        <v>0.12</v>
      </c>
      <c r="I7" s="33">
        <v>0.21</v>
      </c>
      <c r="J7" s="51">
        <f t="shared" si="2"/>
        <v>0.09</v>
      </c>
      <c r="K7" s="51">
        <v>1000</v>
      </c>
      <c r="L7" s="36">
        <f t="shared" si="3"/>
        <v>90</v>
      </c>
      <c r="M7" s="36">
        <v>1350</v>
      </c>
      <c r="N7" s="53">
        <v>0.2454565</v>
      </c>
      <c r="O7" s="36">
        <f t="shared" si="5"/>
        <v>331.366275</v>
      </c>
      <c r="P7" s="38"/>
      <c r="Q7" s="54"/>
    </row>
    <row r="8" ht="62" customHeight="1" spans="1:18">
      <c r="A8" s="32" t="s">
        <v>20</v>
      </c>
      <c r="B8" s="36">
        <f>465.67</f>
        <v>465.67</v>
      </c>
      <c r="C8" s="33">
        <v>780.46</v>
      </c>
      <c r="D8" s="36">
        <v>193.29</v>
      </c>
      <c r="E8" s="51">
        <v>100</v>
      </c>
      <c r="F8" s="36">
        <f>SUM(F4:F7)</f>
        <v>31479</v>
      </c>
      <c r="G8" s="52"/>
      <c r="H8" s="56">
        <f>2.79</f>
        <v>2.79</v>
      </c>
      <c r="I8" s="33">
        <v>5.1</v>
      </c>
      <c r="J8" s="51">
        <f t="shared" si="2"/>
        <v>2.31</v>
      </c>
      <c r="K8" s="51">
        <v>1000</v>
      </c>
      <c r="L8" s="36">
        <f t="shared" si="3"/>
        <v>2310</v>
      </c>
      <c r="M8" s="42">
        <f>SUM(M4:M7)</f>
        <v>28960</v>
      </c>
      <c r="N8" s="41"/>
      <c r="O8" s="42">
        <f>SUM(O4:O7)</f>
        <v>24870.66040325</v>
      </c>
      <c r="P8" s="38"/>
      <c r="Q8" s="54"/>
    </row>
    <row r="9" ht="36" customHeight="1" spans="1:18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22383.594362925</v>
      </c>
      <c r="P9" s="45"/>
      <c r="Q9" s="45"/>
    </row>
    <row r="10" ht="37" customHeight="1" spans="1:18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zoomScale="83" zoomScaleNormal="83" topLeftCell="C1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21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62" customHeight="1" spans="1:21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Q3" s="30"/>
      <c r="R3" s="31" t="s">
        <v>33</v>
      </c>
      <c r="S3" s="31" t="s">
        <v>34</v>
      </c>
      <c r="T3" s="31" t="s">
        <v>35</v>
      </c>
      <c r="U3" s="31" t="s">
        <v>36</v>
      </c>
    </row>
    <row r="4" ht="62" customHeight="1" spans="1:21">
      <c r="A4" s="32" t="s">
        <v>16</v>
      </c>
      <c r="B4" s="33">
        <v>207.29</v>
      </c>
      <c r="C4" s="33">
        <v>295.19</v>
      </c>
      <c r="D4" s="36">
        <f t="shared" ref="D4:D7" si="0">C4-B4</f>
        <v>87.9</v>
      </c>
      <c r="E4" s="51">
        <v>100</v>
      </c>
      <c r="F4" s="36">
        <f t="shared" ref="F4:F7" si="1">D4*E4</f>
        <v>8790</v>
      </c>
      <c r="G4" s="52"/>
      <c r="H4" s="33">
        <v>1.28</v>
      </c>
      <c r="I4" s="33">
        <v>2.67</v>
      </c>
      <c r="J4" s="51">
        <f t="shared" ref="J4:J8" si="2">I4-H4</f>
        <v>1.39</v>
      </c>
      <c r="K4" s="51">
        <v>1000</v>
      </c>
      <c r="L4" s="36">
        <f t="shared" ref="L4:L8" si="3">J4*K4</f>
        <v>1390</v>
      </c>
      <c r="M4" s="36">
        <f t="shared" ref="M4:M6" si="4">F4-L4</f>
        <v>7400</v>
      </c>
      <c r="N4" s="39">
        <v>1.22741175</v>
      </c>
      <c r="O4" s="36">
        <f t="shared" ref="O4:O7" si="5">M4*N4</f>
        <v>9082.84695</v>
      </c>
      <c r="P4" s="38"/>
      <c r="Q4" s="31" t="s">
        <v>37</v>
      </c>
      <c r="R4" s="39">
        <v>0.857543</v>
      </c>
      <c r="S4" s="39">
        <v>0.696053</v>
      </c>
      <c r="T4" s="39">
        <v>0.409443</v>
      </c>
      <c r="U4" s="39">
        <v>0.155588</v>
      </c>
    </row>
    <row r="5" ht="62" customHeight="1" spans="1:21">
      <c r="A5" s="32" t="s">
        <v>17</v>
      </c>
      <c r="B5" s="33">
        <v>200.63</v>
      </c>
      <c r="C5" s="33">
        <v>289.89</v>
      </c>
      <c r="D5" s="36">
        <f t="shared" si="0"/>
        <v>89.26</v>
      </c>
      <c r="E5" s="51">
        <v>100</v>
      </c>
      <c r="F5" s="36">
        <f t="shared" si="1"/>
        <v>8926</v>
      </c>
      <c r="G5" s="52"/>
      <c r="H5" s="33">
        <v>1.19</v>
      </c>
      <c r="I5" s="33">
        <v>2.62</v>
      </c>
      <c r="J5" s="51">
        <f t="shared" si="2"/>
        <v>1.43</v>
      </c>
      <c r="K5" s="51">
        <v>1000</v>
      </c>
      <c r="L5" s="36">
        <f t="shared" si="3"/>
        <v>1430</v>
      </c>
      <c r="M5" s="36">
        <f t="shared" si="4"/>
        <v>7496</v>
      </c>
      <c r="N5" s="53">
        <v>0.99742175</v>
      </c>
      <c r="O5" s="36">
        <f t="shared" si="5"/>
        <v>7476.673438</v>
      </c>
      <c r="P5" s="38"/>
      <c r="Q5" s="31" t="s">
        <v>38</v>
      </c>
      <c r="R5" s="39">
        <v>0.2678</v>
      </c>
      <c r="S5" s="39">
        <v>0.2142</v>
      </c>
      <c r="T5" s="39">
        <v>0.126</v>
      </c>
      <c r="U5" s="39">
        <v>0.0479</v>
      </c>
    </row>
    <row r="6" ht="62" customHeight="1" spans="1:21">
      <c r="A6" s="32" t="s">
        <v>18</v>
      </c>
      <c r="B6" s="33">
        <v>334.22</v>
      </c>
      <c r="C6" s="33">
        <v>478.39</v>
      </c>
      <c r="D6" s="36">
        <f t="shared" si="0"/>
        <v>144.17</v>
      </c>
      <c r="E6" s="51">
        <v>100</v>
      </c>
      <c r="F6" s="36">
        <f t="shared" si="1"/>
        <v>14417</v>
      </c>
      <c r="G6" s="52"/>
      <c r="H6" s="33">
        <v>2.4</v>
      </c>
      <c r="I6" s="33">
        <v>4.74</v>
      </c>
      <c r="J6" s="51">
        <f t="shared" si="2"/>
        <v>2.34</v>
      </c>
      <c r="K6" s="51">
        <v>1000</v>
      </c>
      <c r="L6" s="36">
        <f t="shared" si="3"/>
        <v>2340</v>
      </c>
      <c r="M6" s="36">
        <f t="shared" si="4"/>
        <v>12077</v>
      </c>
      <c r="N6" s="53">
        <v>0.59811175</v>
      </c>
      <c r="O6" s="36">
        <f t="shared" si="5"/>
        <v>7223.39560475</v>
      </c>
      <c r="P6" s="38"/>
      <c r="Q6" s="31" t="s">
        <v>39</v>
      </c>
      <c r="R6" s="39">
        <v>0.0315</v>
      </c>
      <c r="S6" s="39">
        <v>0.0252</v>
      </c>
      <c r="T6" s="39">
        <v>0.0148</v>
      </c>
      <c r="U6" s="39">
        <v>0.0056</v>
      </c>
    </row>
    <row r="7" ht="62" customHeight="1" spans="1:21">
      <c r="A7" s="32" t="s">
        <v>19</v>
      </c>
      <c r="B7" s="33">
        <v>38.31</v>
      </c>
      <c r="C7" s="33">
        <v>53.66</v>
      </c>
      <c r="D7" s="36">
        <f t="shared" si="0"/>
        <v>15.35</v>
      </c>
      <c r="E7" s="51">
        <v>100</v>
      </c>
      <c r="F7" s="36">
        <f t="shared" si="1"/>
        <v>1535</v>
      </c>
      <c r="G7" s="52"/>
      <c r="H7" s="33">
        <v>0.21</v>
      </c>
      <c r="I7" s="33">
        <v>0.36</v>
      </c>
      <c r="J7" s="51">
        <f t="shared" si="2"/>
        <v>0.15</v>
      </c>
      <c r="K7" s="51">
        <v>1000</v>
      </c>
      <c r="L7" s="36">
        <f t="shared" si="3"/>
        <v>150</v>
      </c>
      <c r="M7" s="36">
        <v>1350</v>
      </c>
      <c r="N7" s="53">
        <v>0.23752675</v>
      </c>
      <c r="O7" s="36">
        <f t="shared" si="5"/>
        <v>320.6611125</v>
      </c>
      <c r="P7" s="38"/>
      <c r="Q7" s="31" t="s">
        <v>40</v>
      </c>
      <c r="R7" s="39">
        <v>0.0429</v>
      </c>
      <c r="S7" s="39">
        <v>0.0343</v>
      </c>
      <c r="T7" s="39">
        <v>0.0202</v>
      </c>
      <c r="U7" s="39">
        <v>0.00077</v>
      </c>
    </row>
    <row r="8" ht="62" customHeight="1" spans="1:21">
      <c r="A8" s="32" t="s">
        <v>20</v>
      </c>
      <c r="B8" s="33">
        <v>780.46</v>
      </c>
      <c r="C8" s="33">
        <v>1117.15</v>
      </c>
      <c r="D8" s="36">
        <v>193.29</v>
      </c>
      <c r="E8" s="51">
        <v>100</v>
      </c>
      <c r="F8" s="36">
        <f>SUM(F4:F7)</f>
        <v>33668</v>
      </c>
      <c r="G8" s="52"/>
      <c r="H8" s="33">
        <v>5.1</v>
      </c>
      <c r="I8" s="33">
        <v>10.4</v>
      </c>
      <c r="J8" s="51">
        <f t="shared" si="2"/>
        <v>5.3</v>
      </c>
      <c r="K8" s="51">
        <v>1000</v>
      </c>
      <c r="L8" s="36">
        <f t="shared" si="3"/>
        <v>5300</v>
      </c>
      <c r="M8" s="42">
        <f>SUM(M4:M7)</f>
        <v>28323</v>
      </c>
      <c r="N8" s="41"/>
      <c r="O8" s="42">
        <f>SUM(O4:O7)</f>
        <v>24103.57710525</v>
      </c>
      <c r="P8" s="38"/>
      <c r="Q8" s="31" t="s">
        <v>41</v>
      </c>
      <c r="R8" s="39">
        <v>0.02766875</v>
      </c>
      <c r="S8" s="39">
        <v>0.02766875</v>
      </c>
      <c r="T8" s="39">
        <v>0.02766875</v>
      </c>
      <c r="U8" s="39">
        <v>0.02766875</v>
      </c>
    </row>
    <row r="9" ht="36" customHeight="1" spans="1:21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21693.219394725</v>
      </c>
      <c r="P9" s="45"/>
      <c r="Q9" s="46"/>
      <c r="R9" s="39">
        <f>SUM(R4:R8)</f>
        <v>1.22741175</v>
      </c>
      <c r="S9" s="39">
        <f>SUM(S4:S8)</f>
        <v>0.99742175</v>
      </c>
      <c r="T9" s="39">
        <f>SUM(T4:T8)</f>
        <v>0.59811175</v>
      </c>
      <c r="U9" s="39">
        <f>SUM(U4:U8)</f>
        <v>0.23752675</v>
      </c>
    </row>
    <row r="10" ht="37" customHeight="1" spans="1:21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74" zoomScaleNormal="74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20" t="s">
        <v>42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21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52" customHeight="1" spans="1:21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Q3" s="30"/>
      <c r="R3" s="31" t="s">
        <v>33</v>
      </c>
      <c r="S3" s="31" t="s">
        <v>34</v>
      </c>
      <c r="T3" s="31" t="s">
        <v>35</v>
      </c>
      <c r="U3" s="31" t="s">
        <v>36</v>
      </c>
    </row>
    <row r="4" ht="52" customHeight="1" spans="1:21">
      <c r="A4" s="32" t="s">
        <v>16</v>
      </c>
      <c r="B4" s="33">
        <v>295.19</v>
      </c>
      <c r="C4" s="33">
        <v>380.79</v>
      </c>
      <c r="D4" s="36">
        <f t="shared" ref="D4:D8" si="0">C4-B4</f>
        <v>85.6</v>
      </c>
      <c r="E4" s="51">
        <v>100</v>
      </c>
      <c r="F4" s="36">
        <f t="shared" ref="F4:F8" si="1">D4*E4</f>
        <v>8560</v>
      </c>
      <c r="G4" s="52"/>
      <c r="H4" s="33">
        <v>2.67</v>
      </c>
      <c r="I4" s="33">
        <v>6.11</v>
      </c>
      <c r="J4" s="51">
        <f t="shared" ref="J4:J8" si="2">I4-H4</f>
        <v>3.44</v>
      </c>
      <c r="K4" s="51">
        <v>1000</v>
      </c>
      <c r="L4" s="36">
        <f t="shared" ref="L4:L8" si="3">J4*K4</f>
        <v>3440</v>
      </c>
      <c r="M4" s="36">
        <f>F4-L4</f>
        <v>5120</v>
      </c>
      <c r="N4" s="39">
        <v>1.22741175</v>
      </c>
      <c r="O4" s="36">
        <f t="shared" ref="O4:O7" si="4">M4*N4</f>
        <v>6284.34816</v>
      </c>
      <c r="P4" s="38"/>
      <c r="Q4" s="31" t="s">
        <v>37</v>
      </c>
      <c r="R4" s="39">
        <v>0.857543</v>
      </c>
      <c r="S4" s="39">
        <v>0.696053</v>
      </c>
      <c r="T4" s="39">
        <v>0.409443</v>
      </c>
      <c r="U4" s="39">
        <v>0.155588</v>
      </c>
    </row>
    <row r="5" ht="52" customHeight="1" spans="1:21">
      <c r="A5" s="32" t="s">
        <v>17</v>
      </c>
      <c r="B5" s="33">
        <v>289.89</v>
      </c>
      <c r="C5" s="33">
        <v>369.64</v>
      </c>
      <c r="D5" s="36">
        <f t="shared" si="0"/>
        <v>79.75</v>
      </c>
      <c r="E5" s="51">
        <v>100</v>
      </c>
      <c r="F5" s="36">
        <f t="shared" si="1"/>
        <v>7975</v>
      </c>
      <c r="G5" s="52"/>
      <c r="H5" s="33">
        <v>2.62</v>
      </c>
      <c r="I5" s="33">
        <v>5.97</v>
      </c>
      <c r="J5" s="51">
        <f t="shared" si="2"/>
        <v>3.35</v>
      </c>
      <c r="K5" s="51">
        <v>1000</v>
      </c>
      <c r="L5" s="36">
        <f t="shared" si="3"/>
        <v>3350</v>
      </c>
      <c r="M5" s="36">
        <f>F5-L5</f>
        <v>4625</v>
      </c>
      <c r="N5" s="53">
        <v>0.99742175</v>
      </c>
      <c r="O5" s="36">
        <f t="shared" si="4"/>
        <v>4613.07559375</v>
      </c>
      <c r="P5" s="38"/>
      <c r="Q5" s="31" t="s">
        <v>38</v>
      </c>
      <c r="R5" s="39">
        <v>0.2678</v>
      </c>
      <c r="S5" s="39">
        <v>0.2142</v>
      </c>
      <c r="T5" s="39">
        <v>0.126</v>
      </c>
      <c r="U5" s="39">
        <v>0.0479</v>
      </c>
    </row>
    <row r="6" ht="52" customHeight="1" spans="1:21">
      <c r="A6" s="32" t="s">
        <v>18</v>
      </c>
      <c r="B6" s="33">
        <v>478.39</v>
      </c>
      <c r="C6" s="33">
        <v>601.24</v>
      </c>
      <c r="D6" s="36">
        <f t="shared" si="0"/>
        <v>122.85</v>
      </c>
      <c r="E6" s="51">
        <v>100</v>
      </c>
      <c r="F6" s="36">
        <f t="shared" si="1"/>
        <v>12285</v>
      </c>
      <c r="G6" s="52"/>
      <c r="H6" s="33">
        <v>4.74</v>
      </c>
      <c r="I6" s="33">
        <v>10.44</v>
      </c>
      <c r="J6" s="51">
        <f t="shared" si="2"/>
        <v>5.7</v>
      </c>
      <c r="K6" s="51">
        <v>1000</v>
      </c>
      <c r="L6" s="36">
        <f t="shared" si="3"/>
        <v>5700</v>
      </c>
      <c r="M6" s="36">
        <f>F6-L6</f>
        <v>6585</v>
      </c>
      <c r="N6" s="53">
        <v>0.59811175</v>
      </c>
      <c r="O6" s="36">
        <f t="shared" si="4"/>
        <v>3938.56587375</v>
      </c>
      <c r="P6" s="38"/>
      <c r="Q6" s="31" t="s">
        <v>39</v>
      </c>
      <c r="R6" s="39">
        <v>0.0315</v>
      </c>
      <c r="S6" s="39">
        <v>0.0252</v>
      </c>
      <c r="T6" s="39">
        <v>0.0148</v>
      </c>
      <c r="U6" s="39">
        <v>0.0056</v>
      </c>
    </row>
    <row r="7" ht="52" customHeight="1" spans="1:21">
      <c r="A7" s="32" t="s">
        <v>19</v>
      </c>
      <c r="B7" s="33">
        <v>53.66</v>
      </c>
      <c r="C7" s="33">
        <v>66.36</v>
      </c>
      <c r="D7" s="36">
        <f t="shared" si="0"/>
        <v>12.7</v>
      </c>
      <c r="E7" s="51">
        <v>100</v>
      </c>
      <c r="F7" s="36">
        <f t="shared" si="1"/>
        <v>1270</v>
      </c>
      <c r="G7" s="52"/>
      <c r="H7" s="33">
        <v>0.36</v>
      </c>
      <c r="I7" s="33">
        <v>0.74</v>
      </c>
      <c r="J7" s="51">
        <f t="shared" si="2"/>
        <v>0.38</v>
      </c>
      <c r="K7" s="51">
        <v>1000</v>
      </c>
      <c r="L7" s="36">
        <f t="shared" si="3"/>
        <v>380</v>
      </c>
      <c r="M7" s="36">
        <f>F7-L7</f>
        <v>890</v>
      </c>
      <c r="N7" s="53">
        <v>0.23752675</v>
      </c>
      <c r="O7" s="36">
        <f t="shared" si="4"/>
        <v>211.3988075</v>
      </c>
      <c r="P7" s="38"/>
      <c r="Q7" s="31" t="s">
        <v>40</v>
      </c>
      <c r="R7" s="39">
        <v>0.0429</v>
      </c>
      <c r="S7" s="39">
        <v>0.0343</v>
      </c>
      <c r="T7" s="39">
        <v>0.0202</v>
      </c>
      <c r="U7" s="39">
        <v>0.00077</v>
      </c>
    </row>
    <row r="8" ht="52" customHeight="1" spans="1:21">
      <c r="A8" s="32" t="s">
        <v>20</v>
      </c>
      <c r="B8" s="33">
        <v>1117.15</v>
      </c>
      <c r="C8" s="33">
        <v>1418.04</v>
      </c>
      <c r="D8" s="36">
        <f t="shared" si="0"/>
        <v>300.89</v>
      </c>
      <c r="E8" s="51">
        <v>100</v>
      </c>
      <c r="F8" s="36">
        <f t="shared" si="1"/>
        <v>30089</v>
      </c>
      <c r="G8" s="52"/>
      <c r="H8" s="33">
        <v>10.4</v>
      </c>
      <c r="I8" s="33">
        <v>23.28</v>
      </c>
      <c r="J8" s="51">
        <f t="shared" si="2"/>
        <v>12.88</v>
      </c>
      <c r="K8" s="51">
        <v>1000</v>
      </c>
      <c r="L8" s="36">
        <f t="shared" si="3"/>
        <v>12880</v>
      </c>
      <c r="M8" s="42">
        <f>SUM(M4:M7)</f>
        <v>17220</v>
      </c>
      <c r="N8" s="41"/>
      <c r="O8" s="42">
        <f>SUM(O4:O7)</f>
        <v>15047.388435</v>
      </c>
      <c r="P8" s="38"/>
      <c r="Q8" s="31" t="s">
        <v>41</v>
      </c>
      <c r="R8" s="39">
        <v>0.02766875</v>
      </c>
      <c r="S8" s="39">
        <v>0.02766875</v>
      </c>
      <c r="T8" s="39">
        <v>0.02766875</v>
      </c>
      <c r="U8" s="39">
        <v>0.02766875</v>
      </c>
    </row>
    <row r="9" ht="36" customHeight="1" spans="1:21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13542.6495915</v>
      </c>
      <c r="P9" s="45"/>
      <c r="Q9" s="46"/>
      <c r="R9" s="39">
        <f t="shared" ref="R9:U9" si="5">SUM(R4:R8)</f>
        <v>1.22741175</v>
      </c>
      <c r="S9" s="39">
        <f t="shared" si="5"/>
        <v>0.99742175</v>
      </c>
      <c r="T9" s="39">
        <f t="shared" si="5"/>
        <v>0.59811175</v>
      </c>
      <c r="U9" s="39">
        <f t="shared" si="5"/>
        <v>0.23752675</v>
      </c>
    </row>
    <row r="10" ht="37" customHeight="1" spans="1:21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  <row r="11" customHeight="1" spans="1:21">
      <c r="A11" s="50"/>
      <c r="B11" s="50"/>
      <c r="C11" s="50"/>
      <c r="D11" s="50"/>
      <c r="E11" s="50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66" zoomScaleNormal="66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21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52" customHeight="1" spans="1:21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Q3" s="30"/>
      <c r="R3" s="31" t="s">
        <v>33</v>
      </c>
      <c r="S3" s="31" t="s">
        <v>34</v>
      </c>
      <c r="T3" s="31" t="s">
        <v>35</v>
      </c>
      <c r="U3" s="31" t="s">
        <v>36</v>
      </c>
    </row>
    <row r="4" ht="52" customHeight="1" spans="1:21">
      <c r="A4" s="32" t="s">
        <v>16</v>
      </c>
      <c r="B4" s="33">
        <v>380.79</v>
      </c>
      <c r="C4" s="33">
        <v>455.67</v>
      </c>
      <c r="D4" s="36">
        <f t="shared" ref="D4:D8" si="0">C4-B4</f>
        <v>74.88</v>
      </c>
      <c r="E4" s="51">
        <v>100</v>
      </c>
      <c r="F4" s="36">
        <f>D4*E4</f>
        <v>7488</v>
      </c>
      <c r="G4" s="52"/>
      <c r="H4" s="33">
        <v>6.11</v>
      </c>
      <c r="I4" s="33">
        <v>6.48</v>
      </c>
      <c r="J4" s="51">
        <f>I4-H4</f>
        <v>0.37</v>
      </c>
      <c r="K4" s="51">
        <v>1000</v>
      </c>
      <c r="L4" s="36">
        <f>J4*K4</f>
        <v>370</v>
      </c>
      <c r="M4" s="36">
        <f>F4-L4</f>
        <v>7118</v>
      </c>
      <c r="N4" s="37">
        <v>1.26222275</v>
      </c>
      <c r="O4" s="36">
        <f t="shared" ref="O4:O7" si="1">M4*N4</f>
        <v>8984.5015345</v>
      </c>
      <c r="P4" s="38"/>
      <c r="Q4" s="31" t="s">
        <v>37</v>
      </c>
      <c r="R4" s="39">
        <v>0.859854</v>
      </c>
      <c r="S4" s="39">
        <v>0.696424</v>
      </c>
      <c r="T4" s="39">
        <v>0.409661</v>
      </c>
      <c r="U4" s="39">
        <v>0.155671</v>
      </c>
    </row>
    <row r="5" ht="52" customHeight="1" spans="1:21">
      <c r="A5" s="32" t="s">
        <v>17</v>
      </c>
      <c r="B5" s="33">
        <v>369.64</v>
      </c>
      <c r="C5" s="33">
        <v>443.59</v>
      </c>
      <c r="D5" s="36">
        <f t="shared" si="0"/>
        <v>73.95</v>
      </c>
      <c r="E5" s="51">
        <v>100</v>
      </c>
      <c r="F5" s="36">
        <f>D5*E5</f>
        <v>7395</v>
      </c>
      <c r="G5" s="52"/>
      <c r="H5" s="33">
        <v>5.97</v>
      </c>
      <c r="I5" s="33">
        <v>6.36</v>
      </c>
      <c r="J5" s="51">
        <f t="shared" ref="J4:J8" si="2">I5-H5</f>
        <v>0.390000000000001</v>
      </c>
      <c r="K5" s="51">
        <v>1000</v>
      </c>
      <c r="L5" s="36">
        <f>J5*K5</f>
        <v>390.000000000001</v>
      </c>
      <c r="M5" s="36">
        <f>F5-L5</f>
        <v>7005</v>
      </c>
      <c r="N5" s="40">
        <v>1.02379275</v>
      </c>
      <c r="O5" s="36">
        <f t="shared" si="1"/>
        <v>7171.66821375</v>
      </c>
      <c r="P5" s="38"/>
      <c r="Q5" s="31" t="s">
        <v>38</v>
      </c>
      <c r="R5" s="39">
        <v>0.2678</v>
      </c>
      <c r="S5" s="39">
        <v>0.2142</v>
      </c>
      <c r="T5" s="39">
        <v>0.126</v>
      </c>
      <c r="U5" s="39">
        <v>0.0479</v>
      </c>
    </row>
    <row r="6" ht="52" customHeight="1" spans="1:21">
      <c r="A6" s="32" t="s">
        <v>18</v>
      </c>
      <c r="B6" s="33">
        <v>601.24</v>
      </c>
      <c r="C6" s="33">
        <v>731.69</v>
      </c>
      <c r="D6" s="36">
        <f t="shared" si="0"/>
        <v>130.45</v>
      </c>
      <c r="E6" s="51">
        <v>100</v>
      </c>
      <c r="F6" s="36">
        <f>D6*E6</f>
        <v>13045</v>
      </c>
      <c r="G6" s="52"/>
      <c r="H6" s="33">
        <v>10.44</v>
      </c>
      <c r="I6" s="33">
        <v>11.42</v>
      </c>
      <c r="J6" s="51">
        <f t="shared" si="2"/>
        <v>0.98</v>
      </c>
      <c r="K6" s="51">
        <v>1000</v>
      </c>
      <c r="L6" s="36">
        <f>J6*K6</f>
        <v>980</v>
      </c>
      <c r="M6" s="36">
        <f>F6-L6</f>
        <v>12065</v>
      </c>
      <c r="N6" s="40">
        <v>0.58203975</v>
      </c>
      <c r="O6" s="36">
        <f t="shared" si="1"/>
        <v>7022.30958375</v>
      </c>
      <c r="P6" s="38"/>
      <c r="Q6" s="31" t="s">
        <v>39</v>
      </c>
      <c r="R6" s="39">
        <v>0.0323</v>
      </c>
      <c r="S6" s="39">
        <v>0.0258</v>
      </c>
      <c r="T6" s="39">
        <v>0.0152</v>
      </c>
      <c r="U6" s="39">
        <v>0.0058</v>
      </c>
    </row>
    <row r="7" ht="52" customHeight="1" spans="1:21">
      <c r="A7" s="32" t="s">
        <v>19</v>
      </c>
      <c r="B7" s="33">
        <v>66.36</v>
      </c>
      <c r="C7" s="33">
        <v>77.09</v>
      </c>
      <c r="D7" s="36">
        <f t="shared" si="0"/>
        <v>10.73</v>
      </c>
      <c r="E7" s="51">
        <v>100</v>
      </c>
      <c r="F7" s="36">
        <f>D7*E7</f>
        <v>1073</v>
      </c>
      <c r="G7" s="52"/>
      <c r="H7" s="33">
        <v>0.74</v>
      </c>
      <c r="I7" s="33">
        <v>0.77</v>
      </c>
      <c r="J7" s="51">
        <f t="shared" si="2"/>
        <v>0.03</v>
      </c>
      <c r="K7" s="51">
        <v>1000</v>
      </c>
      <c r="L7" s="36">
        <f>J7*K7</f>
        <v>30</v>
      </c>
      <c r="M7" s="36">
        <f>F7-L7</f>
        <v>1043</v>
      </c>
      <c r="N7" s="40">
        <v>0.25033975</v>
      </c>
      <c r="O7" s="36">
        <f t="shared" si="1"/>
        <v>261.10435925</v>
      </c>
      <c r="P7" s="38"/>
      <c r="Q7" s="31" t="s">
        <v>40</v>
      </c>
      <c r="R7" s="39">
        <v>0.0746</v>
      </c>
      <c r="S7" s="39">
        <v>0.0597</v>
      </c>
      <c r="T7" s="39">
        <v>0.00351</v>
      </c>
      <c r="U7" s="39">
        <v>0.0133</v>
      </c>
    </row>
    <row r="8" ht="52" customHeight="1" spans="1:21">
      <c r="A8" s="32" t="s">
        <v>20</v>
      </c>
      <c r="B8" s="33">
        <v>1418.04</v>
      </c>
      <c r="C8" s="33">
        <v>1708.05</v>
      </c>
      <c r="D8" s="36">
        <f t="shared" si="0"/>
        <v>290.01</v>
      </c>
      <c r="E8" s="51">
        <v>100</v>
      </c>
      <c r="F8" s="36">
        <f>D8*E8</f>
        <v>29001</v>
      </c>
      <c r="G8" s="52"/>
      <c r="H8" s="33">
        <v>23.28</v>
      </c>
      <c r="I8" s="33">
        <v>25.06</v>
      </c>
      <c r="J8" s="51">
        <f t="shared" si="2"/>
        <v>1.78</v>
      </c>
      <c r="K8" s="51">
        <v>1000</v>
      </c>
      <c r="L8" s="36">
        <f>J8*K8</f>
        <v>1780</v>
      </c>
      <c r="M8" s="36">
        <f>F8-L8</f>
        <v>27221</v>
      </c>
      <c r="N8" s="41"/>
      <c r="O8" s="42">
        <f>SUM(O4:O7)</f>
        <v>23439.58369125</v>
      </c>
      <c r="P8" s="38"/>
      <c r="Q8" s="31" t="s">
        <v>41</v>
      </c>
      <c r="R8" s="39">
        <v>0.02766875</v>
      </c>
      <c r="S8" s="39">
        <v>0.02766875</v>
      </c>
      <c r="T8" s="39">
        <v>0.02766875</v>
      </c>
      <c r="U8" s="39">
        <v>0.02766875</v>
      </c>
    </row>
    <row r="9" ht="36" customHeight="1" spans="1:21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21095.625322125</v>
      </c>
      <c r="P9" s="45"/>
      <c r="Q9" s="46"/>
      <c r="R9" s="39">
        <f t="shared" ref="R9:U9" si="3">SUM(R4:R8)</f>
        <v>1.26222275</v>
      </c>
      <c r="S9" s="39">
        <f t="shared" si="3"/>
        <v>1.02379275</v>
      </c>
      <c r="T9" s="39">
        <f t="shared" si="3"/>
        <v>0.58203975</v>
      </c>
      <c r="U9" s="39">
        <f t="shared" si="3"/>
        <v>0.25033975</v>
      </c>
    </row>
    <row r="10" ht="37" customHeight="1" spans="1:21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  <row r="11" customHeight="1" spans="1:21">
      <c r="A11" s="50"/>
      <c r="B11" s="50"/>
      <c r="C11" s="50"/>
      <c r="D11" s="50"/>
      <c r="E11" s="50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83" zoomScaleNormal="83" workbookViewId="0">
      <selection activeCell="A9" sqref="A9:N9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20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21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52" customHeight="1" spans="1:21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Q3" s="30"/>
      <c r="R3" s="31" t="s">
        <v>33</v>
      </c>
      <c r="S3" s="31" t="s">
        <v>34</v>
      </c>
      <c r="T3" s="31" t="s">
        <v>35</v>
      </c>
      <c r="U3" s="31" t="s">
        <v>36</v>
      </c>
    </row>
    <row r="4" ht="52" customHeight="1" spans="1:21">
      <c r="A4" s="32" t="s">
        <v>16</v>
      </c>
      <c r="B4" s="33">
        <v>455.67</v>
      </c>
      <c r="C4" s="33">
        <v>535.26</v>
      </c>
      <c r="D4" s="36">
        <f t="shared" ref="D4:D8" si="0">C4-B4</f>
        <v>79.59</v>
      </c>
      <c r="E4" s="51">
        <v>100</v>
      </c>
      <c r="F4" s="36">
        <f t="shared" ref="F4:F8" si="1">D4*E4</f>
        <v>7959</v>
      </c>
      <c r="G4" s="52"/>
      <c r="H4" s="33">
        <v>6.48</v>
      </c>
      <c r="I4" s="33">
        <v>7.19</v>
      </c>
      <c r="J4" s="51">
        <f t="shared" ref="J4:J8" si="2">I4-H4</f>
        <v>0.71</v>
      </c>
      <c r="K4" s="51">
        <v>1000</v>
      </c>
      <c r="L4" s="36">
        <f t="shared" ref="L4:L8" si="3">J4*K4</f>
        <v>710</v>
      </c>
      <c r="M4" s="36">
        <f t="shared" ref="M4:M8" si="4">F4-L4</f>
        <v>7249</v>
      </c>
      <c r="N4" s="37">
        <v>1.28602575</v>
      </c>
      <c r="O4" s="36">
        <f t="shared" ref="O4:O7" si="5">M4*N4</f>
        <v>9322.40066175</v>
      </c>
      <c r="P4" s="38"/>
      <c r="Q4" s="31" t="s">
        <v>37</v>
      </c>
      <c r="R4" s="39">
        <v>0.858557</v>
      </c>
      <c r="S4" s="39">
        <v>0.696407</v>
      </c>
      <c r="T4" s="39">
        <v>0.409651</v>
      </c>
      <c r="U4" s="39">
        <v>0.155668</v>
      </c>
    </row>
    <row r="5" ht="52" customHeight="1" spans="1:21">
      <c r="A5" s="32" t="s">
        <v>17</v>
      </c>
      <c r="B5" s="33">
        <v>443.59</v>
      </c>
      <c r="C5" s="33">
        <v>514.21</v>
      </c>
      <c r="D5" s="36">
        <f t="shared" si="0"/>
        <v>70.6200000000001</v>
      </c>
      <c r="E5" s="51">
        <v>100</v>
      </c>
      <c r="F5" s="36">
        <f t="shared" si="1"/>
        <v>7062.00000000001</v>
      </c>
      <c r="G5" s="52"/>
      <c r="H5" s="33">
        <v>6.36</v>
      </c>
      <c r="I5" s="33">
        <v>6.92</v>
      </c>
      <c r="J5" s="51">
        <f t="shared" si="2"/>
        <v>0.56</v>
      </c>
      <c r="K5" s="51">
        <v>1000</v>
      </c>
      <c r="L5" s="36">
        <f t="shared" si="3"/>
        <v>560</v>
      </c>
      <c r="M5" s="36">
        <f t="shared" si="4"/>
        <v>6502.00000000001</v>
      </c>
      <c r="N5" s="40">
        <v>1.04387575</v>
      </c>
      <c r="O5" s="36">
        <f t="shared" si="5"/>
        <v>6787.28012650001</v>
      </c>
      <c r="P5" s="38"/>
      <c r="Q5" s="31" t="s">
        <v>38</v>
      </c>
      <c r="R5" s="39">
        <v>0.2678</v>
      </c>
      <c r="S5" s="39">
        <v>0.2142</v>
      </c>
      <c r="T5" s="39">
        <v>0.126</v>
      </c>
      <c r="U5" s="39">
        <v>0.0479</v>
      </c>
    </row>
    <row r="6" ht="52" customHeight="1" spans="1:21">
      <c r="A6" s="32" t="s">
        <v>18</v>
      </c>
      <c r="B6" s="33">
        <v>731.69</v>
      </c>
      <c r="C6" s="33">
        <v>857.67</v>
      </c>
      <c r="D6" s="36">
        <f t="shared" si="0"/>
        <v>125.98</v>
      </c>
      <c r="E6" s="51">
        <v>100</v>
      </c>
      <c r="F6" s="36">
        <f t="shared" si="1"/>
        <v>12598</v>
      </c>
      <c r="G6" s="52"/>
      <c r="H6" s="33">
        <v>11.42</v>
      </c>
      <c r="I6" s="33">
        <v>12.52</v>
      </c>
      <c r="J6" s="51">
        <f t="shared" si="2"/>
        <v>1.1</v>
      </c>
      <c r="K6" s="51">
        <v>1000</v>
      </c>
      <c r="L6" s="36">
        <f t="shared" si="3"/>
        <v>1100</v>
      </c>
      <c r="M6" s="36">
        <f t="shared" si="4"/>
        <v>11498</v>
      </c>
      <c r="N6" s="40">
        <v>0.62541975</v>
      </c>
      <c r="O6" s="36">
        <f t="shared" si="5"/>
        <v>7191.0762855</v>
      </c>
      <c r="P6" s="38"/>
      <c r="Q6" s="31" t="s">
        <v>39</v>
      </c>
      <c r="R6" s="39">
        <v>0.0321</v>
      </c>
      <c r="S6" s="39">
        <v>0.0257</v>
      </c>
      <c r="T6" s="39">
        <v>0.0151</v>
      </c>
      <c r="U6" s="39">
        <v>0.0057</v>
      </c>
    </row>
    <row r="7" ht="52" customHeight="1" spans="1:21">
      <c r="A7" s="32" t="s">
        <v>19</v>
      </c>
      <c r="B7" s="33">
        <v>77.09</v>
      </c>
      <c r="C7" s="33">
        <v>85.59</v>
      </c>
      <c r="D7" s="36">
        <f t="shared" si="0"/>
        <v>8.5</v>
      </c>
      <c r="E7" s="51">
        <v>100</v>
      </c>
      <c r="F7" s="36">
        <f t="shared" si="1"/>
        <v>850</v>
      </c>
      <c r="G7" s="52"/>
      <c r="H7" s="33">
        <v>0.77</v>
      </c>
      <c r="I7" s="33">
        <v>0.82</v>
      </c>
      <c r="J7" s="51">
        <f t="shared" si="2"/>
        <v>0.0499999999999999</v>
      </c>
      <c r="K7" s="51">
        <v>1000</v>
      </c>
      <c r="L7" s="36">
        <f t="shared" si="3"/>
        <v>49.9999999999999</v>
      </c>
      <c r="M7" s="36">
        <f t="shared" si="4"/>
        <v>800</v>
      </c>
      <c r="N7" s="40">
        <v>0.25393675</v>
      </c>
      <c r="O7" s="36">
        <f t="shared" si="5"/>
        <v>203.1494</v>
      </c>
      <c r="P7" s="38"/>
      <c r="Q7" s="31" t="s">
        <v>40</v>
      </c>
      <c r="R7" s="39">
        <v>0.0999</v>
      </c>
      <c r="S7" s="39">
        <v>0.0799</v>
      </c>
      <c r="T7" s="39">
        <v>0.047</v>
      </c>
      <c r="U7" s="39">
        <v>0.017</v>
      </c>
    </row>
    <row r="8" ht="52" customHeight="1" spans="1:21">
      <c r="A8" s="32" t="s">
        <v>20</v>
      </c>
      <c r="B8" s="33">
        <v>1708.05</v>
      </c>
      <c r="C8" s="33">
        <v>1992.75</v>
      </c>
      <c r="D8" s="36">
        <f t="shared" si="0"/>
        <v>284.7</v>
      </c>
      <c r="E8" s="51">
        <v>100</v>
      </c>
      <c r="F8" s="36">
        <f t="shared" si="1"/>
        <v>28470</v>
      </c>
      <c r="G8" s="52"/>
      <c r="H8" s="33">
        <v>25.06</v>
      </c>
      <c r="I8" s="33">
        <v>27.46</v>
      </c>
      <c r="J8" s="51">
        <f t="shared" si="2"/>
        <v>2.4</v>
      </c>
      <c r="K8" s="51">
        <v>1000</v>
      </c>
      <c r="L8" s="36">
        <f t="shared" si="3"/>
        <v>2400</v>
      </c>
      <c r="M8" s="36">
        <f t="shared" si="4"/>
        <v>26070</v>
      </c>
      <c r="N8" s="41"/>
      <c r="O8" s="42">
        <f>SUM(O4:O7)</f>
        <v>23503.90647375</v>
      </c>
      <c r="P8" s="38"/>
      <c r="Q8" s="31" t="s">
        <v>41</v>
      </c>
      <c r="R8" s="39">
        <v>0.02766875</v>
      </c>
      <c r="S8" s="39">
        <v>0.02766875</v>
      </c>
      <c r="T8" s="39">
        <v>0.02766875</v>
      </c>
      <c r="U8" s="39">
        <v>0.02766875</v>
      </c>
    </row>
    <row r="9" ht="36" customHeight="1" spans="1:21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21153.515826375</v>
      </c>
      <c r="P9" s="45"/>
      <c r="Q9" s="46"/>
      <c r="R9" s="39">
        <f t="shared" ref="R9:U9" si="6">SUM(R4:R8)</f>
        <v>1.28602575</v>
      </c>
      <c r="S9" s="39">
        <f t="shared" si="6"/>
        <v>1.04387575</v>
      </c>
      <c r="T9" s="39">
        <f t="shared" si="6"/>
        <v>0.62541975</v>
      </c>
      <c r="U9" s="39">
        <f t="shared" si="6"/>
        <v>0.25393675</v>
      </c>
    </row>
    <row r="10" ht="37" customHeight="1" spans="1:21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  <row r="11" customHeight="1" spans="1:21">
      <c r="A11" s="50"/>
      <c r="B11" s="50"/>
      <c r="C11" s="50"/>
      <c r="D11" s="50"/>
      <c r="E11" s="50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83" zoomScaleNormal="83" workbookViewId="0">
      <selection activeCell="L13" sqref="L13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21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52" customHeight="1" spans="1:21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Q3" s="30"/>
      <c r="R3" s="31" t="s">
        <v>33</v>
      </c>
      <c r="S3" s="31" t="s">
        <v>34</v>
      </c>
      <c r="T3" s="31" t="s">
        <v>35</v>
      </c>
      <c r="U3" s="31" t="s">
        <v>36</v>
      </c>
    </row>
    <row r="4" ht="52" customHeight="1" spans="1:21">
      <c r="A4" s="32" t="s">
        <v>16</v>
      </c>
      <c r="B4" s="33">
        <v>535.26</v>
      </c>
      <c r="C4" s="33">
        <v>592.36</v>
      </c>
      <c r="D4" s="36">
        <f t="shared" ref="D4:D8" si="0">C4-B4</f>
        <v>57.1</v>
      </c>
      <c r="E4" s="51">
        <v>100</v>
      </c>
      <c r="F4" s="36">
        <f t="shared" ref="F4:F8" si="1">D4*E4</f>
        <v>5710</v>
      </c>
      <c r="G4" s="52"/>
      <c r="H4" s="33">
        <v>7.19</v>
      </c>
      <c r="I4" s="33">
        <v>7.69</v>
      </c>
      <c r="J4" s="51">
        <f t="shared" ref="J4:J8" si="2">I4-H4</f>
        <v>0.5</v>
      </c>
      <c r="K4" s="51">
        <v>1000</v>
      </c>
      <c r="L4" s="36">
        <f t="shared" ref="L4:L8" si="3">J4*K4</f>
        <v>500</v>
      </c>
      <c r="M4" s="36">
        <f t="shared" ref="M4:M8" si="4">F4-L4</f>
        <v>5210</v>
      </c>
      <c r="N4" s="37">
        <v>1.10332175</v>
      </c>
      <c r="O4" s="36">
        <f t="shared" ref="O4:O7" si="5">M4*N4</f>
        <v>5748.3063175</v>
      </c>
      <c r="P4" s="38"/>
      <c r="Q4" s="31" t="s">
        <v>37</v>
      </c>
      <c r="R4" s="39"/>
      <c r="S4" s="39">
        <v>0.695853</v>
      </c>
      <c r="T4" s="39">
        <v>0.409326</v>
      </c>
      <c r="U4" s="39">
        <v>0.155544</v>
      </c>
    </row>
    <row r="5" ht="52" customHeight="1" spans="1:21">
      <c r="A5" s="32" t="s">
        <v>17</v>
      </c>
      <c r="B5" s="33">
        <v>514.21</v>
      </c>
      <c r="C5" s="33">
        <v>569.58</v>
      </c>
      <c r="D5" s="36">
        <f t="shared" si="0"/>
        <v>55.37</v>
      </c>
      <c r="E5" s="51">
        <v>100</v>
      </c>
      <c r="F5" s="36">
        <f t="shared" si="1"/>
        <v>5537</v>
      </c>
      <c r="G5" s="52"/>
      <c r="H5" s="33">
        <v>6.92</v>
      </c>
      <c r="I5" s="33">
        <v>7.36</v>
      </c>
      <c r="J5" s="51">
        <f t="shared" si="2"/>
        <v>0.44</v>
      </c>
      <c r="K5" s="51">
        <v>1000</v>
      </c>
      <c r="L5" s="36">
        <f t="shared" si="3"/>
        <v>440</v>
      </c>
      <c r="M5" s="36">
        <f t="shared" si="4"/>
        <v>5097</v>
      </c>
      <c r="N5" s="37">
        <v>1.10332175</v>
      </c>
      <c r="O5" s="36">
        <f t="shared" si="5"/>
        <v>5623.63095975</v>
      </c>
      <c r="P5" s="38"/>
      <c r="Q5" s="31" t="s">
        <v>38</v>
      </c>
      <c r="R5" s="39"/>
      <c r="S5" s="39">
        <v>0.2142</v>
      </c>
      <c r="T5" s="39">
        <v>0.126</v>
      </c>
      <c r="U5" s="39">
        <v>0.0479</v>
      </c>
    </row>
    <row r="6" ht="52" customHeight="1" spans="1:21">
      <c r="A6" s="32" t="s">
        <v>18</v>
      </c>
      <c r="B6" s="33">
        <v>857.67</v>
      </c>
      <c r="C6" s="33">
        <v>956.58</v>
      </c>
      <c r="D6" s="36">
        <f t="shared" si="0"/>
        <v>98.9100000000001</v>
      </c>
      <c r="E6" s="51">
        <v>100</v>
      </c>
      <c r="F6" s="36">
        <f t="shared" si="1"/>
        <v>9891.00000000001</v>
      </c>
      <c r="G6" s="52"/>
      <c r="H6" s="33">
        <v>12.52</v>
      </c>
      <c r="I6" s="33">
        <v>13.45</v>
      </c>
      <c r="J6" s="51">
        <f t="shared" si="2"/>
        <v>0.93</v>
      </c>
      <c r="K6" s="51">
        <v>1000</v>
      </c>
      <c r="L6" s="36">
        <f t="shared" si="3"/>
        <v>930</v>
      </c>
      <c r="M6" s="36">
        <f t="shared" si="4"/>
        <v>8961.00000000001</v>
      </c>
      <c r="N6" s="40">
        <v>0.66039475</v>
      </c>
      <c r="O6" s="36">
        <f t="shared" si="5"/>
        <v>5917.79735475001</v>
      </c>
      <c r="P6" s="38"/>
      <c r="Q6" s="31" t="s">
        <v>39</v>
      </c>
      <c r="R6" s="39"/>
      <c r="S6" s="39">
        <v>0.0264</v>
      </c>
      <c r="T6" s="39">
        <v>0.0155</v>
      </c>
      <c r="U6" s="39">
        <v>0.0059</v>
      </c>
    </row>
    <row r="7" ht="52" customHeight="1" spans="1:21">
      <c r="A7" s="32" t="s">
        <v>19</v>
      </c>
      <c r="B7" s="33">
        <v>85.59</v>
      </c>
      <c r="C7" s="33">
        <v>88.9</v>
      </c>
      <c r="D7" s="36">
        <f t="shared" si="0"/>
        <v>3.31</v>
      </c>
      <c r="E7" s="51">
        <v>100</v>
      </c>
      <c r="F7" s="36">
        <f t="shared" si="1"/>
        <v>331</v>
      </c>
      <c r="G7" s="52"/>
      <c r="H7" s="33">
        <v>0.82</v>
      </c>
      <c r="I7" s="33">
        <v>6.28</v>
      </c>
      <c r="J7" s="51">
        <f t="shared" si="2"/>
        <v>5.46</v>
      </c>
      <c r="K7" s="51">
        <v>1000</v>
      </c>
      <c r="L7" s="36">
        <f t="shared" si="3"/>
        <v>5460</v>
      </c>
      <c r="M7" s="36">
        <f t="shared" si="4"/>
        <v>-5129</v>
      </c>
      <c r="N7" s="40">
        <v>0.26811275</v>
      </c>
      <c r="O7" s="36">
        <f t="shared" si="5"/>
        <v>-1375.15029475</v>
      </c>
      <c r="P7" s="38"/>
      <c r="Q7" s="31" t="s">
        <v>40</v>
      </c>
      <c r="R7" s="39"/>
      <c r="S7" s="39">
        <v>0.1392</v>
      </c>
      <c r="T7" s="39">
        <v>0.0819</v>
      </c>
      <c r="U7" s="39">
        <v>0.0311</v>
      </c>
    </row>
    <row r="8" ht="52" customHeight="1" spans="1:21">
      <c r="A8" s="32" t="s">
        <v>20</v>
      </c>
      <c r="B8" s="33">
        <v>1992.75</v>
      </c>
      <c r="C8" s="33">
        <v>2206.96</v>
      </c>
      <c r="D8" s="36">
        <f t="shared" si="0"/>
        <v>214.21</v>
      </c>
      <c r="E8" s="51">
        <v>100</v>
      </c>
      <c r="F8" s="36">
        <f t="shared" si="1"/>
        <v>21421</v>
      </c>
      <c r="G8" s="52"/>
      <c r="H8" s="33">
        <v>27.46</v>
      </c>
      <c r="I8" s="33">
        <v>29.36</v>
      </c>
      <c r="J8" s="51">
        <f t="shared" si="2"/>
        <v>1.9</v>
      </c>
      <c r="K8" s="51">
        <v>1000</v>
      </c>
      <c r="L8" s="36">
        <f t="shared" si="3"/>
        <v>1900</v>
      </c>
      <c r="M8" s="36">
        <f t="shared" si="4"/>
        <v>19521</v>
      </c>
      <c r="N8" s="41"/>
      <c r="O8" s="42">
        <f>SUM(O4:O7)</f>
        <v>15914.58433725</v>
      </c>
      <c r="P8" s="38"/>
      <c r="Q8" s="31" t="s">
        <v>41</v>
      </c>
      <c r="R8" s="39"/>
      <c r="S8" s="39">
        <v>0.02766875</v>
      </c>
      <c r="T8" s="39">
        <v>0.02766875</v>
      </c>
      <c r="U8" s="39">
        <v>0.02766875</v>
      </c>
    </row>
    <row r="9" ht="36" customHeight="1" spans="1:21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14323.125903525</v>
      </c>
      <c r="P9" s="45"/>
      <c r="Q9" s="46"/>
      <c r="R9" s="39"/>
      <c r="S9" s="39">
        <f t="shared" ref="R9:U9" si="6">SUM(S4:S8)</f>
        <v>1.10332175</v>
      </c>
      <c r="T9" s="39">
        <f t="shared" si="6"/>
        <v>0.66039475</v>
      </c>
      <c r="U9" s="39">
        <f t="shared" si="6"/>
        <v>0.26811275</v>
      </c>
    </row>
    <row r="10" ht="37" customHeight="1" spans="1:21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  <row r="11" customHeight="1" spans="1:21">
      <c r="A11" s="50"/>
      <c r="B11" s="50"/>
      <c r="C11" s="50"/>
      <c r="D11" s="50"/>
      <c r="E11" s="50"/>
      <c r="F11" s="50"/>
      <c r="G11" s="50"/>
      <c r="H11" s="50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83" zoomScaleNormal="83" topLeftCell="M1" workbookViewId="0">
      <selection activeCell="Q3" sqref="Q3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11.1333333333333" customWidth="1"/>
    <col min="4" max="4" width="8.08333333333333" customWidth="1"/>
    <col min="5" max="5" width="7.49166666666667" customWidth="1"/>
    <col min="6" max="6" width="13.85" customWidth="1"/>
    <col min="7" max="7" width="1.025" customWidth="1"/>
    <col min="8" max="8" width="7.93333333333333" customWidth="1"/>
    <col min="9" max="9" width="12.7916666666667" customWidth="1"/>
    <col min="10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ht="30" customHeight="1" spans="1:21">
      <c r="A2" s="21" t="s">
        <v>1</v>
      </c>
      <c r="B2" s="21"/>
      <c r="C2" s="21"/>
      <c r="D2" s="21"/>
      <c r="E2" s="21"/>
      <c r="F2" s="21"/>
      <c r="G2" s="21"/>
      <c r="H2" s="22" t="s">
        <v>2</v>
      </c>
      <c r="I2" s="23"/>
      <c r="J2" s="23"/>
      <c r="K2" s="23"/>
      <c r="L2" s="24"/>
      <c r="M2" s="25" t="s">
        <v>3</v>
      </c>
      <c r="N2" s="26"/>
      <c r="O2" s="26"/>
    </row>
    <row r="3" ht="52" customHeight="1" spans="1:21">
      <c r="A3" s="27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26</v>
      </c>
      <c r="G3" s="27"/>
      <c r="H3" s="27" t="s">
        <v>6</v>
      </c>
      <c r="I3" s="27" t="s">
        <v>7</v>
      </c>
      <c r="J3" s="27" t="s">
        <v>8</v>
      </c>
      <c r="K3" s="27" t="s">
        <v>9</v>
      </c>
      <c r="L3" s="27" t="s">
        <v>30</v>
      </c>
      <c r="M3" s="28" t="s">
        <v>11</v>
      </c>
      <c r="N3" s="29" t="s">
        <v>12</v>
      </c>
      <c r="O3" s="27" t="s">
        <v>13</v>
      </c>
      <c r="Q3" s="30"/>
      <c r="R3" s="31" t="s">
        <v>33</v>
      </c>
      <c r="S3" s="31" t="s">
        <v>34</v>
      </c>
      <c r="T3" s="31" t="s">
        <v>35</v>
      </c>
      <c r="U3" s="31" t="s">
        <v>36</v>
      </c>
    </row>
    <row r="4" ht="52" customHeight="1" spans="1:21">
      <c r="A4" s="32" t="s">
        <v>16</v>
      </c>
      <c r="B4" s="33">
        <v>592.36</v>
      </c>
      <c r="C4" s="33">
        <v>653.03</v>
      </c>
      <c r="D4" s="34">
        <f t="shared" ref="D4:D8" si="0">C4-B4</f>
        <v>60.67</v>
      </c>
      <c r="E4" s="34">
        <v>100</v>
      </c>
      <c r="F4" s="34">
        <f t="shared" ref="F4:F8" si="1">D4*E4</f>
        <v>6067</v>
      </c>
      <c r="G4" s="35"/>
      <c r="H4" s="33">
        <v>7.69</v>
      </c>
      <c r="I4" s="33">
        <v>7.98</v>
      </c>
      <c r="J4" s="34">
        <f t="shared" ref="J4:J8" si="2">I4-H4</f>
        <v>0.29</v>
      </c>
      <c r="K4" s="34">
        <v>1000</v>
      </c>
      <c r="L4" s="34">
        <f t="shared" ref="L4:L8" si="3">J4*K4</f>
        <v>290</v>
      </c>
      <c r="M4" s="36">
        <f t="shared" ref="M4:M8" si="4">F4-L4</f>
        <v>5777</v>
      </c>
      <c r="N4" s="37">
        <v>1.54267175</v>
      </c>
      <c r="O4" s="34">
        <f t="shared" ref="O4:O7" si="5">M4*N4</f>
        <v>8912.01469975</v>
      </c>
      <c r="P4" s="38"/>
      <c r="Q4" s="31" t="s">
        <v>37</v>
      </c>
      <c r="R4" s="39">
        <v>0.695903</v>
      </c>
      <c r="S4" s="39">
        <v>0.695903</v>
      </c>
      <c r="T4" s="39">
        <v>0.409355</v>
      </c>
      <c r="U4" s="39">
        <v>0.155555</v>
      </c>
    </row>
    <row r="5" ht="52" customHeight="1" spans="1:21">
      <c r="A5" s="32" t="s">
        <v>17</v>
      </c>
      <c r="B5" s="33">
        <v>569.58</v>
      </c>
      <c r="C5" s="33">
        <v>624.5</v>
      </c>
      <c r="D5" s="34">
        <f t="shared" si="0"/>
        <v>54.92</v>
      </c>
      <c r="E5" s="34">
        <v>100</v>
      </c>
      <c r="F5" s="34">
        <f t="shared" si="1"/>
        <v>5492</v>
      </c>
      <c r="G5" s="35"/>
      <c r="H5" s="33">
        <v>7.36</v>
      </c>
      <c r="I5" s="33">
        <v>14.79</v>
      </c>
      <c r="J5" s="34">
        <f t="shared" si="2"/>
        <v>7.43</v>
      </c>
      <c r="K5" s="34">
        <v>1000</v>
      </c>
      <c r="L5" s="34">
        <f t="shared" si="3"/>
        <v>7430</v>
      </c>
      <c r="M5" s="36">
        <f t="shared" si="4"/>
        <v>-1938</v>
      </c>
      <c r="N5" s="37">
        <v>1.54267175</v>
      </c>
      <c r="O5" s="34">
        <f t="shared" si="5"/>
        <v>-2989.6978515</v>
      </c>
      <c r="P5" s="38"/>
      <c r="Q5" s="31" t="s">
        <v>38</v>
      </c>
      <c r="R5" s="39">
        <f>0.2678+0.2142</f>
        <v>0.482</v>
      </c>
      <c r="S5" s="39">
        <v>0.2142</v>
      </c>
      <c r="T5" s="39">
        <v>0.126</v>
      </c>
      <c r="U5" s="39">
        <v>0.0479</v>
      </c>
    </row>
    <row r="6" ht="52" customHeight="1" spans="1:21">
      <c r="A6" s="32" t="s">
        <v>18</v>
      </c>
      <c r="B6" s="33">
        <v>956.58</v>
      </c>
      <c r="C6" s="33">
        <v>1053.65</v>
      </c>
      <c r="D6" s="34">
        <f t="shared" si="0"/>
        <v>97.07</v>
      </c>
      <c r="E6" s="34">
        <v>100</v>
      </c>
      <c r="F6" s="34">
        <f t="shared" si="1"/>
        <v>9707.00000000001</v>
      </c>
      <c r="G6" s="35"/>
      <c r="H6" s="33">
        <v>13.45</v>
      </c>
      <c r="I6" s="33">
        <v>0.86</v>
      </c>
      <c r="J6" s="34">
        <f t="shared" si="2"/>
        <v>-12.59</v>
      </c>
      <c r="K6" s="34">
        <v>1000</v>
      </c>
      <c r="L6" s="34">
        <f t="shared" si="3"/>
        <v>-12590</v>
      </c>
      <c r="M6" s="36">
        <f t="shared" si="4"/>
        <v>22297</v>
      </c>
      <c r="N6" s="40">
        <v>0.65112375</v>
      </c>
      <c r="O6" s="34">
        <f t="shared" si="5"/>
        <v>14518.10625375</v>
      </c>
      <c r="P6" s="38"/>
      <c r="Q6" s="31" t="s">
        <v>39</v>
      </c>
      <c r="R6" s="39">
        <f>0.0334+0.0267</f>
        <v>0.0601</v>
      </c>
      <c r="S6" s="39">
        <v>0.0267</v>
      </c>
      <c r="T6" s="39">
        <v>0.0157</v>
      </c>
      <c r="U6" s="39">
        <v>0.006</v>
      </c>
    </row>
    <row r="7" ht="52" customHeight="1" spans="1:21">
      <c r="A7" s="32" t="s">
        <v>19</v>
      </c>
      <c r="B7" s="33">
        <v>88.9</v>
      </c>
      <c r="C7" s="33">
        <v>90.67</v>
      </c>
      <c r="D7" s="34">
        <f t="shared" si="0"/>
        <v>1.77</v>
      </c>
      <c r="E7" s="34">
        <v>100</v>
      </c>
      <c r="F7" s="34">
        <f t="shared" si="1"/>
        <v>177</v>
      </c>
      <c r="G7" s="35"/>
      <c r="H7" s="33">
        <v>6.28</v>
      </c>
      <c r="I7" s="33">
        <v>6.96</v>
      </c>
      <c r="J7" s="34">
        <f t="shared" si="2"/>
        <v>0.68</v>
      </c>
      <c r="K7" s="34">
        <v>1000</v>
      </c>
      <c r="L7" s="34">
        <f t="shared" si="3"/>
        <v>680</v>
      </c>
      <c r="M7" s="36">
        <f t="shared" si="4"/>
        <v>-503</v>
      </c>
      <c r="N7" s="40">
        <v>0.26462375</v>
      </c>
      <c r="O7" s="34">
        <f t="shared" si="5"/>
        <v>-133.10574625</v>
      </c>
      <c r="P7" s="38"/>
      <c r="Q7" s="31" t="s">
        <v>40</v>
      </c>
      <c r="R7" s="39">
        <f>0.1539+0.1231</f>
        <v>0.277</v>
      </c>
      <c r="S7" s="39">
        <v>0.1231</v>
      </c>
      <c r="T7" s="39">
        <v>0.0724</v>
      </c>
      <c r="U7" s="39">
        <v>0.0275</v>
      </c>
    </row>
    <row r="8" ht="52" customHeight="1" spans="1:21">
      <c r="A8" s="32" t="s">
        <v>20</v>
      </c>
      <c r="B8" s="33">
        <v>2206.96</v>
      </c>
      <c r="C8" s="33">
        <v>2421.86</v>
      </c>
      <c r="D8" s="34">
        <f t="shared" si="0"/>
        <v>214.9</v>
      </c>
      <c r="E8" s="34">
        <v>100</v>
      </c>
      <c r="F8" s="34">
        <f t="shared" si="1"/>
        <v>21490</v>
      </c>
      <c r="G8" s="35"/>
      <c r="H8" s="33">
        <v>29.36</v>
      </c>
      <c r="I8" s="33">
        <v>8.31</v>
      </c>
      <c r="J8" s="34">
        <f t="shared" si="2"/>
        <v>-21.05</v>
      </c>
      <c r="K8" s="34">
        <v>1000</v>
      </c>
      <c r="L8" s="34">
        <f t="shared" si="3"/>
        <v>-21050</v>
      </c>
      <c r="M8" s="36">
        <f t="shared" si="4"/>
        <v>42540</v>
      </c>
      <c r="N8" s="41"/>
      <c r="O8" s="42">
        <f>SUM(O4:O7)</f>
        <v>20307.31735575</v>
      </c>
      <c r="P8" s="38"/>
      <c r="Q8" s="31" t="s">
        <v>41</v>
      </c>
      <c r="R8" s="39">
        <v>0.02766875</v>
      </c>
      <c r="S8" s="39">
        <v>0.02766875</v>
      </c>
      <c r="T8" s="39">
        <v>0.02766875</v>
      </c>
      <c r="U8" s="39">
        <v>0.02766875</v>
      </c>
    </row>
    <row r="9" ht="36" customHeight="1" spans="1:21">
      <c r="A9" s="43" t="s">
        <v>21</v>
      </c>
      <c r="B9" s="43"/>
      <c r="C9" s="43"/>
      <c r="D9" s="43"/>
      <c r="E9" s="43"/>
      <c r="F9" s="43"/>
      <c r="G9" s="43"/>
      <c r="H9" s="43"/>
      <c r="I9" s="44"/>
      <c r="J9" s="43"/>
      <c r="K9" s="43"/>
      <c r="L9" s="43"/>
      <c r="M9" s="43"/>
      <c r="N9" s="43"/>
      <c r="O9" s="43">
        <f>O8*0.9</f>
        <v>18276.585620175</v>
      </c>
      <c r="P9" s="45"/>
      <c r="Q9" s="46"/>
      <c r="R9" s="39">
        <f>SUM(R4:R8)</f>
        <v>1.54267175</v>
      </c>
      <c r="S9" s="39">
        <f t="shared" ref="S9:U9" si="6">SUM(S4:S8)</f>
        <v>1.08757175</v>
      </c>
      <c r="T9" s="39">
        <f t="shared" si="6"/>
        <v>0.65112375</v>
      </c>
      <c r="U9" s="39">
        <f t="shared" si="6"/>
        <v>0.26462375</v>
      </c>
    </row>
    <row r="10" ht="37" customHeight="1" spans="1:21">
      <c r="A10" s="47" t="s">
        <v>22</v>
      </c>
      <c r="B10" s="48"/>
      <c r="C10" s="48"/>
      <c r="D10" s="48"/>
      <c r="E10" s="48"/>
      <c r="N10" s="49" t="s">
        <v>23</v>
      </c>
      <c r="O10" s="49" t="s">
        <v>24</v>
      </c>
    </row>
    <row r="11" customHeight="1" spans="1:21">
      <c r="A11" s="50"/>
      <c r="B11" s="50"/>
      <c r="C11" s="50"/>
      <c r="D11" s="50"/>
      <c r="E11" s="50"/>
      <c r="F11" s="50"/>
      <c r="G11" s="50"/>
      <c r="H11" s="50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view="pageBreakPreview" zoomScale="55" zoomScaleNormal="85" topLeftCell="D14" workbookViewId="0">
      <selection activeCell="A1" sqref="A1:J1"/>
    </sheetView>
  </sheetViews>
  <sheetFormatPr defaultColWidth="15.6" defaultRowHeight="27.75" customHeight="1"/>
  <cols>
    <col min="1" max="1" width="27.725" style="1" customWidth="1"/>
    <col min="2" max="2" width="29.0833333333333" style="1" customWidth="1"/>
    <col min="3" max="3" width="40.2166666666667" style="2" customWidth="1"/>
    <col min="4" max="4" width="28.8666666666667" style="1" customWidth="1"/>
    <col min="5" max="5" width="40.225" style="2" customWidth="1"/>
    <col min="6" max="6" width="15.7083333333333" style="2" customWidth="1"/>
    <col min="7" max="7" width="13.3833333333333" style="2" customWidth="1"/>
    <col min="8" max="8" width="19.5416666666667" style="3" customWidth="1"/>
    <col min="9" max="9" width="19.6416666666667" style="3" customWidth="1"/>
    <col min="10" max="10" width="14.45" style="2" customWidth="1"/>
    <col min="11" max="11" width="7.93333333333333" style="4" customWidth="1"/>
    <col min="12" max="12" width="9.40833333333333" style="5" customWidth="1"/>
    <col min="13" max="13" width="9.55833333333333" style="5" customWidth="1"/>
    <col min="14" max="14" width="11.25" style="6" customWidth="1"/>
    <col min="15" max="15" width="11.0583333333333" style="4" customWidth="1"/>
    <col min="16" max="16" width="12.1416666666667" style="5" customWidth="1"/>
    <col min="17" max="17" width="13.75" style="5" customWidth="1"/>
    <col min="18" max="16384" width="15.6" style="5"/>
  </cols>
  <sheetData>
    <row r="1" ht="57" customHeight="1" spans="1:17">
      <c r="A1" s="7" t="s">
        <v>47</v>
      </c>
      <c r="B1" s="7"/>
      <c r="C1" s="7"/>
      <c r="D1" s="7"/>
      <c r="E1" s="7"/>
      <c r="F1" s="7"/>
      <c r="G1" s="7"/>
      <c r="H1" s="8"/>
      <c r="I1" s="8"/>
      <c r="J1" s="7"/>
      <c r="K1" s="9"/>
      <c r="L1" s="9"/>
      <c r="M1" s="9"/>
      <c r="N1" s="9"/>
      <c r="O1" s="9"/>
      <c r="P1" s="9"/>
      <c r="Q1" s="9"/>
    </row>
    <row r="2" customHeight="1" spans="1:17">
      <c r="A2" s="10" t="s">
        <v>48</v>
      </c>
      <c r="B2" s="10" t="s">
        <v>49</v>
      </c>
      <c r="C2" s="10" t="s">
        <v>50</v>
      </c>
      <c r="D2" s="10" t="s">
        <v>51</v>
      </c>
      <c r="E2" s="10" t="s">
        <v>52</v>
      </c>
      <c r="F2" s="11" t="s">
        <v>26</v>
      </c>
      <c r="G2" s="11" t="s">
        <v>30</v>
      </c>
      <c r="H2" s="12" t="s">
        <v>11</v>
      </c>
      <c r="I2" s="13" t="s">
        <v>13</v>
      </c>
      <c r="J2" s="14" t="s">
        <v>53</v>
      </c>
    </row>
    <row r="3" ht="80" customHeight="1" spans="1:17">
      <c r="A3" s="64" t="s">
        <v>54</v>
      </c>
      <c r="B3" s="65" t="s">
        <v>55</v>
      </c>
      <c r="C3" s="17" t="s">
        <v>56</v>
      </c>
      <c r="D3" s="65" t="s">
        <v>57</v>
      </c>
      <c r="E3" s="17" t="s">
        <v>58</v>
      </c>
      <c r="F3" s="17">
        <f>'202504'!F8</f>
        <v>19329</v>
      </c>
      <c r="G3" s="17">
        <f>'202504'!L8</f>
        <v>280</v>
      </c>
      <c r="H3" s="18">
        <f>'202504 特'!M8</f>
        <v>19049</v>
      </c>
      <c r="I3" s="18">
        <f>'202504 特'!O9</f>
        <v>13946.75163315</v>
      </c>
      <c r="J3" s="17">
        <f>'202504'!Q8</f>
        <v>126.84</v>
      </c>
    </row>
    <row r="4" ht="57" customHeight="1" spans="1:17">
      <c r="A4" s="7" t="s">
        <v>59</v>
      </c>
      <c r="B4" s="7"/>
      <c r="C4" s="7"/>
      <c r="D4" s="7"/>
      <c r="E4" s="7"/>
      <c r="F4" s="7"/>
      <c r="G4" s="7"/>
      <c r="H4" s="8"/>
      <c r="I4" s="8"/>
      <c r="J4" s="7"/>
      <c r="K4" s="9"/>
      <c r="L4" s="9"/>
      <c r="M4" s="9"/>
      <c r="N4" s="9"/>
      <c r="O4" s="9"/>
      <c r="P4" s="9"/>
      <c r="Q4" s="9"/>
    </row>
    <row r="5" ht="80" customHeight="1" spans="1:17">
      <c r="A5" s="64" t="str" cm="1">
        <f t="array" ref="A5:E5">A3:E3</f>
        <v>0319009900152123</v>
      </c>
      <c r="B5" s="64" t="str">
        <v>0319700337706620</v>
      </c>
      <c r="C5" s="19" t="str">
        <v>03591SF00000002402908536</v>
      </c>
      <c r="D5" s="64" t="str">
        <v>0319700356999007</v>
      </c>
      <c r="E5" s="19" t="str">
        <v>03001SG00011312000002494</v>
      </c>
      <c r="F5" s="17">
        <f>'202505'!F8</f>
        <v>27238</v>
      </c>
      <c r="G5" s="17">
        <f>'202505'!L8</f>
        <v>2510</v>
      </c>
      <c r="H5" s="18">
        <f>'202505特旺'!M8</f>
        <v>24728</v>
      </c>
      <c r="I5" s="18">
        <f>'202505特旺'!O9</f>
        <v>17520.1890813</v>
      </c>
      <c r="J5" s="17">
        <f>'202505'!Q8</f>
        <v>1137.03</v>
      </c>
    </row>
    <row r="6" ht="57" customHeight="1" spans="1:17">
      <c r="A6" s="7" t="s">
        <v>60</v>
      </c>
      <c r="B6" s="7"/>
      <c r="C6" s="7"/>
      <c r="D6" s="7"/>
      <c r="E6" s="7"/>
      <c r="F6" s="7"/>
      <c r="G6" s="7"/>
      <c r="H6" s="8"/>
      <c r="I6" s="8"/>
      <c r="J6" s="7"/>
      <c r="K6" s="9"/>
      <c r="L6" s="9"/>
      <c r="M6" s="9"/>
      <c r="N6" s="9"/>
      <c r="O6" s="9"/>
      <c r="P6" s="9"/>
      <c r="Q6" s="9"/>
    </row>
    <row r="7" ht="80" customHeight="1" spans="1:17">
      <c r="A7" s="64" t="str" cm="1">
        <f t="array" ref="A7:E7">A5:E5</f>
        <v>0319009900152123</v>
      </c>
      <c r="B7" s="64" t="str">
        <v>0319700337706620</v>
      </c>
      <c r="C7" s="19" t="str">
        <v>03591SF00000002402908536</v>
      </c>
      <c r="D7" s="64" t="str">
        <v>0319700356999007</v>
      </c>
      <c r="E7" s="19" t="str">
        <v>03001SG00011312000002494</v>
      </c>
      <c r="F7" s="17">
        <f>'202506特旺 (2)'!F8</f>
        <v>31479</v>
      </c>
      <c r="G7" s="17">
        <f>'202506特旺 (2)'!L8</f>
        <v>2310</v>
      </c>
      <c r="H7" s="18">
        <f>'202506特旺 (2)'!M8</f>
        <v>28960</v>
      </c>
      <c r="I7" s="18">
        <f>'202506特旺 (2)'!O9</f>
        <v>22383.594362925</v>
      </c>
      <c r="J7" s="17"/>
    </row>
    <row r="8" ht="57" customHeight="1" spans="1:17">
      <c r="A8" s="7" t="s">
        <v>61</v>
      </c>
      <c r="B8" s="7"/>
      <c r="C8" s="7"/>
      <c r="D8" s="7"/>
      <c r="E8" s="7"/>
      <c r="F8" s="7"/>
      <c r="G8" s="7"/>
      <c r="H8" s="8"/>
      <c r="I8" s="8"/>
      <c r="J8" s="7"/>
      <c r="K8" s="9"/>
      <c r="L8" s="9"/>
      <c r="M8" s="9"/>
      <c r="N8" s="9"/>
      <c r="O8" s="9"/>
      <c r="P8" s="9"/>
      <c r="Q8" s="9"/>
    </row>
    <row r="9" ht="80" customHeight="1" spans="1:17">
      <c r="A9" s="64" t="str" cm="1">
        <f t="array" ref="A9:E9">A7:E7</f>
        <v>0319009900152123</v>
      </c>
      <c r="B9" s="64" t="str">
        <v>0319700337706620</v>
      </c>
      <c r="C9" s="19" t="str">
        <v>03591SF00000002402908536</v>
      </c>
      <c r="D9" s="64" t="str">
        <v>0319700356999007</v>
      </c>
      <c r="E9" s="19" t="str">
        <v>03001SG00011312000002494</v>
      </c>
      <c r="F9" s="17">
        <f>'202507特旺 (3)'!F8</f>
        <v>33668</v>
      </c>
      <c r="G9" s="17">
        <f>'202507特旺 (3)'!L8</f>
        <v>5300</v>
      </c>
      <c r="H9" s="18">
        <f>'202507特旺 (3)'!M8</f>
        <v>28323</v>
      </c>
      <c r="I9" s="18">
        <f>'202507特旺 (3)'!O9</f>
        <v>21693.219394725</v>
      </c>
      <c r="J9" s="17"/>
    </row>
    <row r="10" ht="57" customHeight="1" spans="1:17">
      <c r="A10" s="7" t="s">
        <v>62</v>
      </c>
      <c r="B10" s="7"/>
      <c r="C10" s="7"/>
      <c r="D10" s="7"/>
      <c r="E10" s="7"/>
      <c r="F10" s="7"/>
      <c r="G10" s="7"/>
      <c r="H10" s="8"/>
      <c r="I10" s="8"/>
      <c r="J10" s="7"/>
      <c r="K10" s="9"/>
      <c r="L10" s="9"/>
      <c r="M10" s="9"/>
      <c r="N10" s="9"/>
      <c r="O10" s="9"/>
      <c r="P10" s="9"/>
      <c r="Q10" s="9"/>
    </row>
    <row r="11" ht="80" customHeight="1" spans="1:17">
      <c r="A11" s="64" t="str" cm="1">
        <f t="array" ref="A11:E11">A9:E9</f>
        <v>0319009900152123</v>
      </c>
      <c r="B11" s="64" t="str">
        <v>0319700337706620</v>
      </c>
      <c r="C11" s="19" t="str">
        <v>03591SF00000002402908536</v>
      </c>
      <c r="D11" s="64" t="str">
        <v>0319700356999007</v>
      </c>
      <c r="E11" s="19" t="str">
        <v>03001SG00011312000002494</v>
      </c>
      <c r="F11" s="17">
        <f>'202508特旺 (3)'!F8</f>
        <v>30089</v>
      </c>
      <c r="G11" s="17">
        <f>'202508特旺 (3)'!L8</f>
        <v>12880</v>
      </c>
      <c r="H11" s="18">
        <f>'202508特旺 (3)'!M8</f>
        <v>17220</v>
      </c>
      <c r="I11" s="18">
        <f>'202508特旺 (3)'!O9</f>
        <v>13542.6495915</v>
      </c>
      <c r="J11" s="17"/>
    </row>
    <row r="12" ht="57" customHeight="1" spans="1:17">
      <c r="A12" s="7" t="s">
        <v>63</v>
      </c>
      <c r="B12" s="7"/>
      <c r="C12" s="7"/>
      <c r="D12" s="7"/>
      <c r="E12" s="7"/>
      <c r="F12" s="7"/>
      <c r="G12" s="7"/>
      <c r="H12" s="8"/>
      <c r="I12" s="8"/>
      <c r="J12" s="7"/>
      <c r="K12" s="9"/>
      <c r="L12" s="9"/>
      <c r="M12" s="9"/>
      <c r="N12" s="9"/>
      <c r="O12" s="9"/>
      <c r="P12" s="9"/>
      <c r="Q12" s="9"/>
    </row>
    <row r="13" ht="80" customHeight="1" spans="1:17">
      <c r="A13" s="66" t="str" cm="1">
        <f t="array" ref="A13:E13">A11:E11</f>
        <v>0319009900152123</v>
      </c>
      <c r="B13" s="66" t="str">
        <v>0319700337706620</v>
      </c>
      <c r="C13" s="19" t="str">
        <v>03591SF00000002402908536</v>
      </c>
      <c r="D13" s="66" t="str">
        <v>0319700356999007</v>
      </c>
      <c r="E13" s="19" t="str">
        <v>03001SG00011312000002494</v>
      </c>
      <c r="F13" s="17">
        <f>'202509特旺 (2)'!F8</f>
        <v>29001</v>
      </c>
      <c r="G13" s="17">
        <f>'202509特旺 (2)'!L8</f>
        <v>1780</v>
      </c>
      <c r="H13" s="18">
        <f>'202509特旺 (2)'!M8</f>
        <v>27221</v>
      </c>
      <c r="I13" s="18">
        <f>'202509特旺 (2)'!O9</f>
        <v>21095.625322125</v>
      </c>
      <c r="J13" s="17"/>
    </row>
    <row r="14" ht="57" customHeight="1" spans="1:17">
      <c r="A14" s="7" t="s">
        <v>64</v>
      </c>
      <c r="B14" s="7"/>
      <c r="C14" s="7"/>
      <c r="D14" s="7"/>
      <c r="E14" s="7"/>
      <c r="F14" s="7"/>
      <c r="G14" s="7"/>
      <c r="H14" s="8"/>
      <c r="I14" s="8"/>
      <c r="J14" s="7"/>
      <c r="K14" s="9"/>
      <c r="L14" s="9"/>
      <c r="M14" s="9"/>
      <c r="N14" s="9"/>
      <c r="O14" s="9"/>
      <c r="P14" s="9"/>
      <c r="Q14" s="9"/>
    </row>
    <row r="15" ht="80" customHeight="1" spans="1:17">
      <c r="A15" s="66" t="str" cm="1">
        <f t="array" ref="A15:E15">A13:E13</f>
        <v>0319009900152123</v>
      </c>
      <c r="B15" s="66" t="str">
        <v>0319700337706620</v>
      </c>
      <c r="C15" s="19" t="str">
        <v>03591SF00000002402908536</v>
      </c>
      <c r="D15" s="66" t="str">
        <v>0319700356999007</v>
      </c>
      <c r="E15" s="19" t="str">
        <v>03001SG00011312000002494</v>
      </c>
      <c r="F15" s="17">
        <f>'202510特旺 (3)'!F8</f>
        <v>28470</v>
      </c>
      <c r="G15" s="17">
        <f>'202510特旺 (3)'!L8</f>
        <v>2400</v>
      </c>
      <c r="H15" s="18">
        <f>'202510特旺 (3)'!M8</f>
        <v>26070</v>
      </c>
      <c r="I15" s="18">
        <f>'202510特旺 (3)'!O9</f>
        <v>21153.515826375</v>
      </c>
      <c r="J15" s="17"/>
    </row>
    <row r="16" ht="57" customHeight="1" spans="1:17">
      <c r="A16" s="7" t="s">
        <v>65</v>
      </c>
      <c r="B16" s="7"/>
      <c r="C16" s="7"/>
      <c r="D16" s="7"/>
      <c r="E16" s="7"/>
      <c r="F16" s="7"/>
      <c r="G16" s="7"/>
      <c r="H16" s="8"/>
      <c r="I16" s="8"/>
      <c r="J16" s="7"/>
      <c r="K16" s="9"/>
      <c r="L16" s="9"/>
      <c r="M16" s="9"/>
      <c r="N16" s="9"/>
      <c r="O16" s="9"/>
      <c r="P16" s="9"/>
      <c r="Q16" s="9"/>
    </row>
    <row r="17" ht="80" customHeight="1" spans="1:17">
      <c r="A17" s="66" t="str" cm="1">
        <f t="array" ref="A17:E17">A15:E15</f>
        <v>0319009900152123</v>
      </c>
      <c r="B17" s="66" t="str">
        <v>0319700337706620</v>
      </c>
      <c r="C17" s="19" t="str">
        <v>03591SF00000002402908536</v>
      </c>
      <c r="D17" s="66" t="str">
        <v>0319700356999007</v>
      </c>
      <c r="E17" s="19" t="str">
        <v>03001SG00011312000002494</v>
      </c>
      <c r="F17" s="17">
        <f>'202511特旺 (2)'!F8</f>
        <v>21421</v>
      </c>
      <c r="G17" s="17">
        <f>'202511特旺 (2)'!L8</f>
        <v>1900</v>
      </c>
      <c r="H17" s="18">
        <f>'202511特旺 (2)'!M8</f>
        <v>19521</v>
      </c>
      <c r="I17" s="18">
        <f>'202511特旺 (2)'!O9</f>
        <v>14323.125903525</v>
      </c>
      <c r="J17" s="17"/>
    </row>
    <row r="18" ht="57" customHeight="1" spans="1:17">
      <c r="A18" s="7" t="s">
        <v>66</v>
      </c>
      <c r="B18" s="7"/>
      <c r="C18" s="7"/>
      <c r="D18" s="7"/>
      <c r="E18" s="7"/>
      <c r="F18" s="7"/>
      <c r="G18" s="7"/>
      <c r="H18" s="8"/>
      <c r="I18" s="8"/>
      <c r="J18" s="7"/>
      <c r="K18" s="9"/>
      <c r="L18" s="9"/>
      <c r="M18" s="9"/>
      <c r="N18" s="9"/>
      <c r="O18" s="9"/>
      <c r="P18" s="9"/>
      <c r="Q18" s="9"/>
    </row>
    <row r="19" ht="80" customHeight="1" spans="1:17">
      <c r="A19" s="66" t="str" cm="1">
        <f t="array" ref="A19:E19">A17:E17</f>
        <v>0319009900152123</v>
      </c>
      <c r="B19" s="66" t="str">
        <v>0319700337706620</v>
      </c>
      <c r="C19" s="19" t="str">
        <v>03591SF00000002402908536</v>
      </c>
      <c r="D19" s="66" t="str">
        <v>0319700356999007</v>
      </c>
      <c r="E19" s="19" t="str">
        <v>03001SG00011312000002494</v>
      </c>
      <c r="F19" s="17">
        <f>'202512特旺'!F8</f>
        <v>21490</v>
      </c>
      <c r="G19" s="17">
        <f>'202512特旺'!L8</f>
        <v>-21050</v>
      </c>
      <c r="H19" s="18">
        <f>'202512特旺'!M8</f>
        <v>42540</v>
      </c>
      <c r="I19" s="18">
        <f>'202512特旺'!O9</f>
        <v>18276.585620175</v>
      </c>
      <c r="J19" s="17"/>
    </row>
  </sheetData>
  <mergeCells count="9">
    <mergeCell ref="A1:J1"/>
    <mergeCell ref="A4:J4"/>
    <mergeCell ref="A6:J6"/>
    <mergeCell ref="A8:J8"/>
    <mergeCell ref="A10:J10"/>
    <mergeCell ref="A12:J12"/>
    <mergeCell ref="A14:J14"/>
    <mergeCell ref="A16:J16"/>
    <mergeCell ref="A18:J18"/>
  </mergeCells>
  <pageMargins left="0.314583333333333" right="0.145138888888889" top="0.724305555555556" bottom="0.747916666666667" header="0.314583333333333" footer="0.314583333333333"/>
  <pageSetup paperSize="9" scale="3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202504</vt:lpstr>
      <vt:lpstr>202504 特</vt:lpstr>
      <vt:lpstr>202505</vt:lpstr>
      <vt:lpstr>202505特旺</vt:lpstr>
      <vt:lpstr>202506特旺 (2)</vt:lpstr>
      <vt:lpstr>202507特旺 (3)</vt:lpstr>
      <vt:lpstr>202508特旺 (3)</vt:lpstr>
      <vt:lpstr>202509特旺 (2)</vt:lpstr>
      <vt:lpstr>202510特旺 (3)</vt:lpstr>
      <vt:lpstr>202511特旺 (2)</vt:lpstr>
      <vt:lpstr>202512特旺</vt:lpstr>
      <vt:lpstr>每月汇总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WPS_1546503816</cp:lastModifiedBy>
  <dcterms:created xsi:type="dcterms:W3CDTF">2008-09-11T17:22:00Z</dcterms:created>
  <cp:lastPrinted>2022-11-14T05:54:00Z</cp:lastPrinted>
  <dcterms:modified xsi:type="dcterms:W3CDTF">2026-02-27T06:21:21Z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A975AAB170BD4E0C8D04F584603BDAC6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