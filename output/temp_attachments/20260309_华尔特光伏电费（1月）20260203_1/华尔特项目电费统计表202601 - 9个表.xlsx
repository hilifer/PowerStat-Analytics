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1"/>
  </bookViews>
  <sheets>
    <sheet name="每月汇总" sheetId="80" r:id="rId1"/>
    <sheet name="202601" sheetId="70" r:id="rId2"/>
  </sheets>
  <definedNames>
    <definedName name="_xlnm.Print_Area" localSheetId="0">每月汇总!$A$1:$J$67</definedName>
    <definedName name="_xlnm.Print_Area" localSheetId="1">'202601'!$A$1:$Q$92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<sst xmlns="http://schemas.openxmlformats.org/spreadsheetml/2006/main" count="358" uniqueCount="79">
  <si>
    <t>华尔特工业园光伏项目发电2026年1月统计表</t>
  </si>
  <si>
    <t>用户号</t>
  </si>
  <si>
    <t>发电表号</t>
  </si>
  <si>
    <t>发电表资产编号</t>
  </si>
  <si>
    <t>上网表号</t>
  </si>
  <si>
    <t>上网表资产号</t>
  </si>
  <si>
    <t>发电量</t>
  </si>
  <si>
    <t>上网电量</t>
  </si>
  <si>
    <t>实际用电数</t>
  </si>
  <si>
    <t>金额</t>
  </si>
  <si>
    <t>上网费</t>
  </si>
  <si>
    <t>合计</t>
  </si>
  <si>
    <t>华尔特工业园光伏项目发电2026年2月统计表</t>
  </si>
  <si>
    <t>华尔特工业园光伏项目发电2026年3月统计表</t>
  </si>
  <si>
    <t>华尔特工业园光伏项目发电2026年4月统计表</t>
  </si>
  <si>
    <t>华尔特工业园光伏项目发电2026年5月统计表</t>
  </si>
  <si>
    <t>华尔特工业园光伏项目发电2026年6月统计表</t>
  </si>
  <si>
    <t>华尔特工业园光伏项目发电2026年7月统计表</t>
  </si>
  <si>
    <t>华尔特工业园光伏项目发电2026年8月统计表</t>
  </si>
  <si>
    <t>华尔特工业园光伏项目发电2026年9月统计表</t>
  </si>
  <si>
    <t>华尔特工业园光伏项目发电2026年10月统计表</t>
  </si>
  <si>
    <t>华尔特工业园光伏项目发电2026年11月统计表</t>
  </si>
  <si>
    <t>华尔特工业园光伏项目发电2026年12月统计表</t>
  </si>
  <si>
    <t>华尔特工业园光伏项目发电统计表（2026年1月）</t>
  </si>
  <si>
    <t>正向数据（发电量）</t>
  </si>
  <si>
    <t>反向数据（上网电量）</t>
  </si>
  <si>
    <r>
      <rPr>
        <sz val="11"/>
        <color theme="1"/>
        <rFont val="宋体"/>
        <charset val="134"/>
      </rPr>
      <t>自发用电量/金额</t>
    </r>
    <r>
      <rPr>
        <sz val="11"/>
        <color theme="1"/>
        <rFont val="Tahoma"/>
        <charset val="134"/>
      </rPr>
      <t xml:space="preserve"> </t>
    </r>
  </si>
  <si>
    <t>类别</t>
  </si>
  <si>
    <t>上月表数</t>
  </si>
  <si>
    <t>本月表数</t>
  </si>
  <si>
    <t>电表用理</t>
  </si>
  <si>
    <t>倍率</t>
  </si>
  <si>
    <t>原电价</t>
  </si>
  <si>
    <t>优惠后电价</t>
  </si>
  <si>
    <t>0948030027271605</t>
  </si>
  <si>
    <r>
      <rPr>
        <sz val="11"/>
        <color theme="1"/>
        <rFont val="宋体"/>
        <charset val="134"/>
      </rPr>
      <t>新建</t>
    </r>
    <r>
      <rPr>
        <sz val="11"/>
        <color theme="1"/>
        <rFont val="Tahoma"/>
        <charset val="134"/>
      </rPr>
      <t>9</t>
    </r>
    <r>
      <rPr>
        <sz val="11"/>
        <color theme="1"/>
        <rFont val="宋体"/>
        <charset val="134"/>
      </rPr>
      <t>个表</t>
    </r>
  </si>
  <si>
    <t>正有功尖峰</t>
  </si>
  <si>
    <t>0948030044326050</t>
  </si>
  <si>
    <t>正有功峰</t>
  </si>
  <si>
    <t>09001SF00000042508942176</t>
  </si>
  <si>
    <t>正有功平</t>
  </si>
  <si>
    <t>正有功谷</t>
  </si>
  <si>
    <t>09001SF00000042508942193</t>
  </si>
  <si>
    <t>正有功总</t>
  </si>
  <si>
    <r>
      <rPr>
        <sz val="11"/>
        <color theme="1"/>
        <rFont val="宋体"/>
        <charset val="134"/>
      </rPr>
      <t>联系电话：</t>
    </r>
    <r>
      <rPr>
        <sz val="11"/>
        <color theme="1"/>
        <rFont val="Tahoma"/>
        <charset val="134"/>
      </rPr>
      <t>18938973683</t>
    </r>
  </si>
  <si>
    <t>制作：</t>
  </si>
  <si>
    <t>曹贤奎</t>
  </si>
  <si>
    <t>0948030037341288</t>
  </si>
  <si>
    <t>0948030044194534</t>
  </si>
  <si>
    <t>09001SF00000042509164565</t>
  </si>
  <si>
    <t>09001SF00000042508942178</t>
  </si>
  <si>
    <t>0948030028525006</t>
  </si>
  <si>
    <t>0948030044235127</t>
  </si>
  <si>
    <t>09001SF00000042508942177</t>
  </si>
  <si>
    <t>09001SF00000042508942225</t>
  </si>
  <si>
    <t>0948030030377367</t>
  </si>
  <si>
    <t>0948030044235114</t>
  </si>
  <si>
    <t>09001SF00000042508942194</t>
  </si>
  <si>
    <t>09001SF00000042508942224</t>
  </si>
  <si>
    <t>0948030043388253</t>
  </si>
  <si>
    <t>0948030044266295</t>
  </si>
  <si>
    <t>09001SF00000042508942195</t>
  </si>
  <si>
    <t>09001SF00000042508942191</t>
  </si>
  <si>
    <t>0948030028525149</t>
  </si>
  <si>
    <t>0948030044235101</t>
  </si>
  <si>
    <t>09001SF00000042508942196</t>
  </si>
  <si>
    <t>09001SF00000042508942190</t>
  </si>
  <si>
    <t>0948030043525791</t>
  </si>
  <si>
    <t>0948030044235084</t>
  </si>
  <si>
    <t>09001SF00000042508942175</t>
  </si>
  <si>
    <t>09001SF00000042508942222</t>
  </si>
  <si>
    <t>0948030027271562</t>
  </si>
  <si>
    <t>0948030044235097</t>
  </si>
  <si>
    <t>09001SF00000042509164566</t>
  </si>
  <si>
    <t>09001SF00000042508942223</t>
  </si>
  <si>
    <t>0948030027333525</t>
  </si>
  <si>
    <t>0948030045008711</t>
  </si>
  <si>
    <t>09001SF00000042508943351</t>
  </si>
  <si>
    <t>09001SF00000042508942212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</si>
</sst>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</numFmts>
  <fonts count="49">
    <font>
      <sz val="11"/>
      <color theme="1"/>
      <name val="Tahoma"/>
      <charset val="134"/>
    </font>
    <font>
      <sz val="11"/>
      <name val="Tahoma"/>
      <charset val="134"/>
    </font>
    <font>
      <b/>
      <sz val="20"/>
      <name val="宋体"/>
      <charset val="134"/>
    </font>
    <font>
      <b/>
      <sz val="20"/>
      <color rgb="FFFF000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Tahoma"/>
      <charset val="134"/>
    </font>
    <font>
      <sz val="11"/>
      <name val="微软雅黑"/>
      <charset val="134"/>
    </font>
    <font>
      <sz val="11"/>
      <color rgb="FF0070C0"/>
      <name val="Tahoma"/>
      <charset val="134"/>
    </font>
    <font>
      <sz val="8"/>
      <name val="微软雅黑"/>
      <family val="2"/>
      <charset val="134"/>
    </font>
    <font>
      <sz val="11"/>
      <color rgb="FFFF0000"/>
      <name val="宋体"/>
      <charset val="134"/>
    </font>
    <font>
      <b/>
      <sz val="11"/>
      <color rgb="FF0070C0"/>
      <name val="Tahoma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name val="Tahoma"/>
      <charset val="134"/>
    </font>
    <font>
      <sz val="16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7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6" borderId="12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11" applyNumberFormat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37" fillId="6" borderId="12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11" applyNumberFormat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45" fillId="7" borderId="13" applyNumberFormat="0" applyAlignment="0" applyProtection="0">
      <alignment vertical="center"/>
    </xf>
    <xf numFmtId="0" fontId="45" fillId="7" borderId="13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8" fillId="5" borderId="11" applyNumberFormat="0" applyAlignment="0" applyProtection="0">
      <alignment vertical="center"/>
    </xf>
    <xf numFmtId="0" fontId="48" fillId="5" borderId="11" applyNumberFormat="0" applyAlignment="0" applyProtection="0">
      <alignment vertical="center"/>
    </xf>
    <xf numFmtId="0" fontId="17" fillId="4" borderId="8" applyNumberFormat="0" applyFont="0" applyAlignment="0" applyProtection="0">
      <alignment vertical="center"/>
    </xf>
    <xf numFmtId="0" fontId="17" fillId="4" borderId="8" applyNumberFormat="0" applyFont="0" applyAlignment="0" applyProtection="0">
      <alignment vertical="center"/>
    </xf>
  </cellStyleXfs>
  <cellXfs count="98">
    <xf numFmtId="0" fontId="0" fillId="0" borderId="0" xfId="0"/>
    <xf numFmtId="176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8" fillId="2" borderId="6" xfId="0" applyNumberFormat="1" applyFont="1" applyFill="1" applyBorder="1" applyAlignment="1">
      <alignment horizontal="center" vertical="center" wrapText="1"/>
    </xf>
    <xf numFmtId="176" fontId="8" fillId="2" borderId="6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5" xfId="0" applyFont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176" fontId="8" fillId="2" borderId="7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6" fillId="0" borderId="0" xfId="0" applyFon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0" fontId="10" fillId="3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0" fillId="0" borderId="0" xfId="0" applyBorder="1"/>
    <xf numFmtId="0" fontId="10" fillId="2" borderId="0" xfId="0" applyNumberFormat="1" applyFont="1" applyFill="1" applyBorder="1" applyAlignment="1">
      <alignment horizontal="center" vertical="center" wrapText="1"/>
    </xf>
    <xf numFmtId="0" fontId="10" fillId="2" borderId="0" xfId="0" applyNumberFormat="1" applyFont="1" applyFill="1" applyBorder="1" applyAlignment="1">
      <alignment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Fill="1"/>
    <xf numFmtId="0" fontId="1" fillId="0" borderId="0" xfId="0" applyFont="1" applyFill="1"/>
    <xf numFmtId="0" fontId="0" fillId="0" borderId="0" xfId="0" applyFill="1"/>
    <xf numFmtId="0" fontId="5" fillId="0" borderId="0" xfId="0" applyFont="1" applyFill="1"/>
    <xf numFmtId="0" fontId="6" fillId="0" borderId="0" xfId="0" applyFont="1" applyFill="1"/>
    <xf numFmtId="0" fontId="11" fillId="0" borderId="0" xfId="0" applyFont="1" applyFill="1"/>
    <xf numFmtId="0" fontId="12" fillId="0" borderId="0" xfId="0" applyFont="1"/>
    <xf numFmtId="0" fontId="9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177" fontId="7" fillId="0" borderId="0" xfId="0" applyNumberFormat="1" applyFont="1" applyFill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Fill="1"/>
    <xf numFmtId="0" fontId="2" fillId="0" borderId="0" xfId="0" applyFont="1" applyFill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vertical="center" wrapText="1"/>
    </xf>
    <xf numFmtId="176" fontId="14" fillId="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0" borderId="1" xfId="0" applyFont="1" applyFill="1" applyBorder="1"/>
    <xf numFmtId="0" fontId="16" fillId="0" borderId="1" xfId="0" applyFont="1" applyFill="1" applyBorder="1"/>
    <xf numFmtId="0" fontId="15" fillId="0" borderId="1" xfId="0" applyFont="1" applyFill="1" applyBorder="1" applyAlignment="1">
      <alignment horizontal="center"/>
    </xf>
    <xf numFmtId="176" fontId="15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/>
    <xf numFmtId="0" fontId="16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5" fillId="0" borderId="1" xfId="0" applyFont="1" applyFill="1" applyBorder="1" quotePrefix="1"/>
    <xf numFmtId="0" fontId="16" fillId="0" borderId="1" xfId="0" applyFont="1" applyFill="1" applyBorder="1" quotePrefix="1"/>
    <xf numFmtId="0" fontId="0" fillId="0" borderId="0" xfId="0" quotePrefix="1"/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view="pageBreakPreview" zoomScale="70" zoomScaleNormal="85" topLeftCell="B1" workbookViewId="0">
      <selection activeCell="G15" sqref="G15"/>
    </sheetView>
  </sheetViews>
  <sheetFormatPr defaultColWidth="15.6" defaultRowHeight="27.75" customHeight="1"/>
  <cols>
    <col min="1" max="1" width="28.3916666666667" style="64" customWidth="1"/>
    <col min="2" max="2" width="26.9583333333333" style="64" customWidth="1"/>
    <col min="3" max="3" width="36.6083333333333" style="63" customWidth="1"/>
    <col min="4" max="4" width="26.9666666666667" style="64" customWidth="1"/>
    <col min="5" max="5" width="46.0666666666667" style="63" customWidth="1"/>
    <col min="6" max="6" width="15.7083333333333" style="63" customWidth="1"/>
    <col min="7" max="7" width="13.3833333333333" style="63" customWidth="1"/>
    <col min="8" max="8" width="15.175" style="63" customWidth="1"/>
    <col min="9" max="9" width="19.6416666666667" style="62" customWidth="1"/>
    <col min="10" max="10" width="14.45" style="63" customWidth="1"/>
    <col min="11" max="11" width="7.93333333333333" style="63" customWidth="1"/>
    <col min="12" max="12" width="9.40833333333333" style="64" customWidth="1"/>
    <col min="13" max="13" width="9.55833333333333" style="64" customWidth="1"/>
    <col min="14" max="14" width="11.25" style="79" customWidth="1"/>
    <col min="15" max="15" width="11.0583333333333" style="63" customWidth="1"/>
    <col min="16" max="16" width="12.1416666666667" style="64" customWidth="1"/>
    <col min="17" max="17" width="13.75" style="64" customWidth="1"/>
    <col min="18" max="16384" width="15.6" style="64"/>
  </cols>
  <sheetData>
    <row r="1" ht="57" customHeight="1" spans="1:17">
      <c r="A1" s="6" t="s">
        <v>0</v>
      </c>
      <c r="B1" s="6"/>
      <c r="C1" s="6"/>
      <c r="D1" s="6"/>
      <c r="E1" s="6"/>
      <c r="F1" s="6"/>
      <c r="G1" s="6"/>
      <c r="H1" s="6"/>
      <c r="I1" s="5"/>
      <c r="J1" s="6"/>
      <c r="K1" s="80"/>
      <c r="L1" s="80"/>
      <c r="M1" s="80"/>
      <c r="N1" s="80"/>
      <c r="O1" s="80"/>
      <c r="P1" s="80"/>
      <c r="Q1" s="80"/>
    </row>
    <row r="2" customHeight="1" spans="1:17">
      <c r="A2" s="81" t="s">
        <v>1</v>
      </c>
      <c r="B2" s="81" t="s">
        <v>2</v>
      </c>
      <c r="C2" s="81" t="s">
        <v>3</v>
      </c>
      <c r="D2" s="81" t="s">
        <v>4</v>
      </c>
      <c r="E2" s="81" t="s">
        <v>5</v>
      </c>
      <c r="F2" s="82" t="s">
        <v>6</v>
      </c>
      <c r="G2" s="82" t="s">
        <v>7</v>
      </c>
      <c r="H2" s="83" t="s">
        <v>8</v>
      </c>
      <c r="I2" s="84" t="s">
        <v>9</v>
      </c>
      <c r="J2" s="85" t="s">
        <v>10</v>
      </c>
    </row>
    <row r="3" customHeight="1" spans="1:17">
      <c r="A3" s="98" t="str">
        <f>'202601'!Q3</f>
        <v>0948030027271605</v>
      </c>
      <c r="B3" s="99" t="str">
        <f>'202601'!Q4</f>
        <v>0948030044326050</v>
      </c>
      <c r="C3" s="86" t="str">
        <f>'202601'!Q5</f>
        <v>09001SF00000042508942176</v>
      </c>
      <c r="D3" s="99" t="str">
        <f>'202601'!Q6</f>
        <v>0948030027271605</v>
      </c>
      <c r="E3" s="86" t="str">
        <f>'202601'!Q7</f>
        <v>09001SF00000042508942193</v>
      </c>
      <c r="F3" s="88">
        <f>'202601'!F8</f>
        <v>10606.8</v>
      </c>
      <c r="G3" s="88">
        <f>'202601'!K8</f>
        <v>6057</v>
      </c>
      <c r="H3" s="88">
        <f>'202601'!L8</f>
        <v>4549.8</v>
      </c>
      <c r="I3" s="89">
        <f>'202601'!O8</f>
        <v>3231.85298875</v>
      </c>
      <c r="J3" s="86"/>
    </row>
    <row r="4" customHeight="1" spans="1:17">
      <c r="A4" s="98" t="str">
        <f>'202601'!Q13</f>
        <v>0948030037341288</v>
      </c>
      <c r="B4" s="99" t="str">
        <f>'202601'!Q14</f>
        <v>0948030044194534</v>
      </c>
      <c r="C4" s="86" t="str">
        <f>'202601'!Q15</f>
        <v>09001SF00000042509164565</v>
      </c>
      <c r="D4" s="99" t="str">
        <f>'202601'!Q16</f>
        <v>0948030037341288</v>
      </c>
      <c r="E4" s="86" t="str">
        <f>'202601'!Q17</f>
        <v>09001SF00000042508942178</v>
      </c>
      <c r="F4" s="88">
        <f>'202601'!F18</f>
        <v>2864.38</v>
      </c>
      <c r="G4" s="88">
        <f>'202601'!K18</f>
        <v>948</v>
      </c>
      <c r="H4" s="88">
        <f>'202601'!L18</f>
        <v>1916.38</v>
      </c>
      <c r="I4" s="89">
        <f>'202601'!O18</f>
        <v>1376.1422044375</v>
      </c>
      <c r="J4" s="86"/>
    </row>
    <row r="5" customHeight="1" spans="1:17">
      <c r="A5" s="98" t="str">
        <f>'202601'!Q23</f>
        <v>0948030028525006</v>
      </c>
      <c r="B5" s="99" t="str">
        <f>'202601'!Q24</f>
        <v>0948030044235127</v>
      </c>
      <c r="C5" s="86" t="str">
        <f>'202601'!Q25</f>
        <v>09001SF00000042508942177</v>
      </c>
      <c r="D5" s="99" t="str">
        <f>'202601'!Q26</f>
        <v>0948030028525006</v>
      </c>
      <c r="E5" s="86" t="str">
        <f>'202601'!Q27</f>
        <v>09001SF00000042508942225</v>
      </c>
      <c r="F5" s="88">
        <f>'202601'!F28</f>
        <v>7671</v>
      </c>
      <c r="G5" s="88">
        <f>'202601'!K28</f>
        <v>7591.8</v>
      </c>
      <c r="H5" s="88">
        <f>'202601'!L28</f>
        <v>79.2000000000016</v>
      </c>
      <c r="I5" s="89">
        <f>'202601'!O28</f>
        <v>55.5202837499992</v>
      </c>
      <c r="J5" s="86"/>
    </row>
    <row r="6" customHeight="1" spans="1:17">
      <c r="A6" s="98" t="str">
        <f>'202601'!Q33</f>
        <v>0948030030377367</v>
      </c>
      <c r="B6" s="99" t="str">
        <f>'202601'!Q34</f>
        <v>0948030044235114</v>
      </c>
      <c r="C6" s="86" t="str">
        <f>'202601'!Q35</f>
        <v>09001SF00000042508942194</v>
      </c>
      <c r="D6" s="99" t="str">
        <f>'202601'!Q36</f>
        <v>0948030030377367</v>
      </c>
      <c r="E6" s="86" t="str">
        <f>'202601'!Q37</f>
        <v>09001SF00000042508942224</v>
      </c>
      <c r="F6" s="88">
        <f>'202601'!F38</f>
        <v>9216.6</v>
      </c>
      <c r="G6" s="88">
        <f>'202601'!K38</f>
        <v>2257</v>
      </c>
      <c r="H6" s="88">
        <f>'202601'!L38</f>
        <v>6959.6</v>
      </c>
      <c r="I6" s="89">
        <f>'202601'!O38</f>
        <v>4925.25520125</v>
      </c>
      <c r="J6" s="86"/>
    </row>
    <row r="7" customHeight="1" spans="1:17">
      <c r="A7" s="98" t="str">
        <f>'202601'!Q43</f>
        <v>0948030043388253</v>
      </c>
      <c r="B7" s="99" t="str">
        <f>'202601'!Q44</f>
        <v>0948030044266295</v>
      </c>
      <c r="C7" s="86" t="str">
        <f>'202601'!Q45</f>
        <v>09001SF00000042508942195</v>
      </c>
      <c r="D7" s="99" t="str">
        <f>'202601'!Q46</f>
        <v>0948030043388253</v>
      </c>
      <c r="E7" s="86" t="str">
        <f>'202601'!Q47</f>
        <v>09001SF00000042508942191</v>
      </c>
      <c r="F7" s="88">
        <v>9822.6</v>
      </c>
      <c r="G7" s="88">
        <f>'202601'!K48</f>
        <v>6005</v>
      </c>
      <c r="H7" s="88">
        <f>'202601'!L48</f>
        <v>3817.6</v>
      </c>
      <c r="I7" s="89">
        <f>'202601'!O48</f>
        <v>2696.29772875</v>
      </c>
      <c r="J7" s="86"/>
    </row>
    <row r="8" customHeight="1" spans="1:17">
      <c r="A8" s="98" t="str">
        <f>'202601'!Q53</f>
        <v>0948030028525149</v>
      </c>
      <c r="B8" s="99" t="str">
        <f>'202601'!Q54</f>
        <v>0948030044235101</v>
      </c>
      <c r="C8" s="86" t="str">
        <f>'202601'!Q55</f>
        <v>09001SF00000042508942196</v>
      </c>
      <c r="D8" s="99" t="str">
        <f>'202601'!Q56</f>
        <v>0948030028525149</v>
      </c>
      <c r="E8" s="86" t="str">
        <f>'202601'!Q57</f>
        <v>09001SF00000042508942190</v>
      </c>
      <c r="F8" s="88">
        <f>'202601'!F58</f>
        <v>9549.6</v>
      </c>
      <c r="G8" s="88">
        <f>'202601'!K58</f>
        <v>1341</v>
      </c>
      <c r="H8" s="88">
        <f>'202601'!L58</f>
        <v>8208.6</v>
      </c>
      <c r="I8" s="89">
        <f>'202601'!O58</f>
        <v>5765.00428125</v>
      </c>
      <c r="J8" s="86"/>
    </row>
    <row r="9" customHeight="1" spans="1:17">
      <c r="A9" s="98" t="str">
        <f>'202601'!Q63</f>
        <v>0948030043525791</v>
      </c>
      <c r="B9" s="99" t="str">
        <f>'202601'!Q64</f>
        <v>0948030044235084</v>
      </c>
      <c r="C9" s="86" t="str">
        <f>'202601'!Q65</f>
        <v>09001SF00000042508942175</v>
      </c>
      <c r="D9" s="99" t="str">
        <f>'202601'!Q66</f>
        <v>0948030043525791</v>
      </c>
      <c r="E9" s="86" t="str">
        <f>'202601'!Q67</f>
        <v>09001SF00000042508942222</v>
      </c>
      <c r="F9" s="88">
        <f>'202601'!F68</f>
        <v>16408</v>
      </c>
      <c r="G9" s="88">
        <f>'202601'!K68</f>
        <v>4889</v>
      </c>
      <c r="H9" s="88">
        <f>'202601'!L68</f>
        <v>11519</v>
      </c>
      <c r="I9" s="89">
        <f>'202601'!O68</f>
        <v>8034.6704</v>
      </c>
      <c r="J9" s="86"/>
    </row>
    <row r="10" customHeight="1" spans="1:17">
      <c r="A10" s="98" t="str">
        <f>'202601'!Q73</f>
        <v>0948030027271562</v>
      </c>
      <c r="B10" s="99" t="str">
        <f>'202601'!Q74</f>
        <v>0948030044235097</v>
      </c>
      <c r="C10" s="86" t="str">
        <f>'202601'!Q75</f>
        <v>09001SF00000042509164566</v>
      </c>
      <c r="D10" s="99" t="str">
        <f>'202601'!Q76</f>
        <v>0948030027271562</v>
      </c>
      <c r="E10" s="86" t="str">
        <f>'202601'!Q77</f>
        <v>09001SF00000042508942223</v>
      </c>
      <c r="F10" s="88">
        <f>'202601'!F78</f>
        <v>1972.75</v>
      </c>
      <c r="G10" s="88">
        <f>'202601'!K78</f>
        <v>694.2</v>
      </c>
      <c r="H10" s="88">
        <f>'202601'!L78</f>
        <v>1278.55</v>
      </c>
      <c r="I10" s="89">
        <f>'202601'!O78</f>
        <v>900.014172375</v>
      </c>
      <c r="J10" s="86"/>
    </row>
    <row r="11" customHeight="1" spans="1:17">
      <c r="A11" s="98" t="str">
        <f>'202601'!Q83</f>
        <v>0948030027333525</v>
      </c>
      <c r="B11" s="99" t="str">
        <f>'202601'!Q84</f>
        <v>0948030045008711</v>
      </c>
      <c r="C11" s="86" t="str">
        <f>'202601'!Q85</f>
        <v>09001SF00000042508943351</v>
      </c>
      <c r="D11" s="99" t="str">
        <f>'202601'!Q86</f>
        <v>0948030027333525</v>
      </c>
      <c r="E11" s="86" t="str">
        <f>'202601'!Q87</f>
        <v>09001SF00000042508942212</v>
      </c>
      <c r="F11" s="88">
        <f>'202601'!F88</f>
        <v>8817.6</v>
      </c>
      <c r="G11" s="88">
        <f>'202601'!K88</f>
        <v>3804</v>
      </c>
      <c r="H11" s="88">
        <f>'202601'!L88</f>
        <v>5013.6</v>
      </c>
      <c r="I11" s="89">
        <f>'202601'!O88</f>
        <v>3598.3603825</v>
      </c>
      <c r="J11" s="86"/>
    </row>
    <row r="12" ht="33" customHeight="1" spans="1:17">
      <c r="A12" s="6"/>
      <c r="B12" s="90" t="s">
        <v>11</v>
      </c>
      <c r="C12" s="90"/>
      <c r="D12" s="90"/>
      <c r="E12" s="90"/>
      <c r="F12" s="90">
        <f>SUM(F3:F11)</f>
        <v>76929.33</v>
      </c>
      <c r="G12" s="90">
        <f>SUM(G3:G11)</f>
        <v>33587</v>
      </c>
      <c r="H12" s="90">
        <f>SUM(H3:H11)</f>
        <v>43342.33</v>
      </c>
      <c r="I12" s="91">
        <f>SUM(I3:I11)</f>
        <v>30583.1176430625</v>
      </c>
      <c r="J12" s="90"/>
      <c r="K12" s="80"/>
      <c r="L12" s="80"/>
      <c r="M12" s="80"/>
      <c r="N12" s="80"/>
      <c r="O12" s="80"/>
      <c r="P12" s="80"/>
      <c r="Q12" s="80"/>
    </row>
    <row r="13" ht="57" customHeight="1" spans="1:17">
      <c r="A13" s="6" t="s">
        <v>12</v>
      </c>
      <c r="B13" s="6"/>
      <c r="C13" s="6"/>
      <c r="D13" s="6"/>
      <c r="E13" s="6"/>
      <c r="F13" s="6"/>
      <c r="G13" s="6"/>
      <c r="H13" s="6"/>
      <c r="I13" s="5"/>
      <c r="J13" s="6"/>
      <c r="K13" s="80"/>
      <c r="L13" s="80"/>
      <c r="M13" s="80"/>
      <c r="N13" s="80"/>
      <c r="O13" s="80"/>
      <c r="P13" s="80"/>
      <c r="Q13" s="80"/>
    </row>
    <row r="14" customHeight="1" spans="1:17">
      <c r="A14" s="87"/>
      <c r="B14" s="87"/>
      <c r="C14" s="86"/>
      <c r="D14" s="87"/>
      <c r="E14" s="86"/>
      <c r="F14" s="86"/>
      <c r="G14" s="86"/>
      <c r="H14" s="86"/>
      <c r="I14" s="92"/>
      <c r="J14" s="86"/>
    </row>
    <row r="15" customHeight="1" spans="1:17">
      <c r="A15" s="87"/>
      <c r="B15" s="87"/>
      <c r="C15" s="86"/>
      <c r="D15" s="87"/>
      <c r="E15" s="86"/>
      <c r="F15" s="86"/>
      <c r="G15" s="86"/>
      <c r="H15" s="86"/>
      <c r="I15" s="92"/>
      <c r="J15" s="86"/>
    </row>
    <row r="16" customHeight="1" spans="1:17">
      <c r="A16" s="87"/>
      <c r="B16" s="87"/>
      <c r="C16" s="86"/>
      <c r="D16" s="87"/>
      <c r="E16" s="86"/>
      <c r="F16" s="86"/>
      <c r="G16" s="86"/>
      <c r="H16" s="86"/>
      <c r="I16" s="92"/>
      <c r="J16" s="86"/>
    </row>
    <row r="17" customHeight="1" spans="1:17">
      <c r="A17" s="87"/>
      <c r="B17" s="87"/>
      <c r="C17" s="86"/>
      <c r="D17" s="87"/>
      <c r="E17" s="86"/>
      <c r="F17" s="86"/>
      <c r="G17" s="86"/>
      <c r="H17" s="86"/>
      <c r="I17" s="92"/>
      <c r="J17" s="86"/>
    </row>
    <row r="18" ht="57" customHeight="1" spans="1:17">
      <c r="A18" s="6" t="s">
        <v>13</v>
      </c>
      <c r="B18" s="6"/>
      <c r="C18" s="6"/>
      <c r="D18" s="6"/>
      <c r="E18" s="6"/>
      <c r="F18" s="6"/>
      <c r="G18" s="6"/>
      <c r="H18" s="6"/>
      <c r="I18" s="5"/>
      <c r="J18" s="6"/>
      <c r="K18" s="80"/>
      <c r="L18" s="80"/>
      <c r="M18" s="80"/>
      <c r="N18" s="80"/>
      <c r="O18" s="80"/>
      <c r="P18" s="80"/>
      <c r="Q18" s="80"/>
    </row>
    <row r="19" customHeight="1" spans="1:17">
      <c r="A19" s="87"/>
      <c r="B19" s="87"/>
      <c r="C19" s="86"/>
      <c r="D19" s="87"/>
      <c r="E19" s="86"/>
      <c r="F19" s="86"/>
      <c r="G19" s="86"/>
      <c r="H19" s="86"/>
      <c r="I19" s="92"/>
      <c r="J19" s="86"/>
    </row>
    <row r="20" customHeight="1" spans="1:17">
      <c r="A20" s="87"/>
      <c r="B20" s="87"/>
      <c r="C20" s="86"/>
      <c r="D20" s="87"/>
      <c r="E20" s="86"/>
      <c r="F20" s="86"/>
      <c r="G20" s="86"/>
      <c r="H20" s="86"/>
      <c r="I20" s="92"/>
      <c r="J20" s="86"/>
    </row>
    <row r="21" customHeight="1" spans="1:17">
      <c r="A21" s="87"/>
      <c r="B21" s="87"/>
      <c r="C21" s="86"/>
      <c r="D21" s="87"/>
      <c r="E21" s="86"/>
      <c r="F21" s="86"/>
      <c r="G21" s="86"/>
      <c r="H21" s="86"/>
      <c r="I21" s="92"/>
      <c r="J21" s="86"/>
    </row>
    <row r="22" ht="57" customHeight="1" spans="1:17">
      <c r="A22" s="6" t="s">
        <v>14</v>
      </c>
      <c r="B22" s="6"/>
      <c r="C22" s="6"/>
      <c r="D22" s="6"/>
      <c r="E22" s="6"/>
      <c r="F22" s="6"/>
      <c r="G22" s="6"/>
      <c r="H22" s="6"/>
      <c r="I22" s="5"/>
      <c r="J22" s="6"/>
      <c r="K22" s="80"/>
      <c r="L22" s="80"/>
      <c r="M22" s="80"/>
      <c r="N22" s="80"/>
      <c r="O22" s="80"/>
      <c r="P22" s="80"/>
      <c r="Q22" s="80"/>
    </row>
    <row r="23" customHeight="1" spans="1:17">
      <c r="A23" s="87"/>
      <c r="B23" s="87"/>
      <c r="C23" s="86"/>
      <c r="D23" s="87"/>
      <c r="E23" s="86"/>
      <c r="F23" s="86"/>
      <c r="G23" s="86"/>
      <c r="H23" s="86"/>
      <c r="I23" s="92"/>
      <c r="J23" s="86"/>
    </row>
    <row r="24" customHeight="1" spans="1:17">
      <c r="A24" s="87"/>
      <c r="B24" s="87"/>
      <c r="C24" s="86"/>
      <c r="D24" s="87"/>
      <c r="E24" s="86"/>
      <c r="F24" s="86"/>
      <c r="G24" s="86"/>
      <c r="H24" s="86"/>
      <c r="I24" s="92"/>
      <c r="J24" s="86"/>
    </row>
    <row r="25" customHeight="1" spans="1:17">
      <c r="A25" s="87"/>
      <c r="B25" s="87"/>
      <c r="C25" s="86"/>
      <c r="D25" s="87"/>
      <c r="E25" s="86"/>
      <c r="F25" s="86"/>
      <c r="G25" s="86"/>
      <c r="H25" s="86"/>
      <c r="I25" s="92"/>
      <c r="J25" s="86"/>
    </row>
    <row r="26" customHeight="1" spans="1:17">
      <c r="A26" s="87"/>
      <c r="B26" s="87"/>
      <c r="C26" s="86"/>
      <c r="D26" s="87"/>
      <c r="E26" s="86"/>
      <c r="F26" s="86"/>
      <c r="G26" s="86"/>
      <c r="H26" s="86"/>
      <c r="I26" s="92"/>
      <c r="J26" s="86"/>
    </row>
    <row r="27" ht="57" customHeight="1" spans="1:17">
      <c r="A27" s="6" t="s">
        <v>15</v>
      </c>
      <c r="B27" s="6"/>
      <c r="C27" s="6"/>
      <c r="D27" s="6"/>
      <c r="E27" s="6"/>
      <c r="F27" s="6"/>
      <c r="G27" s="6"/>
      <c r="H27" s="6"/>
      <c r="I27" s="5"/>
      <c r="J27" s="6"/>
      <c r="K27" s="80"/>
      <c r="L27" s="80"/>
      <c r="M27" s="80"/>
      <c r="N27" s="80"/>
      <c r="O27" s="80"/>
      <c r="P27" s="80"/>
      <c r="Q27" s="80"/>
    </row>
    <row r="28" customHeight="1" spans="1:17">
      <c r="A28" s="87"/>
      <c r="B28" s="87"/>
      <c r="C28" s="86"/>
      <c r="D28" s="87"/>
      <c r="E28" s="86"/>
      <c r="F28" s="86"/>
      <c r="G28" s="86"/>
      <c r="H28" s="86"/>
      <c r="I28" s="92"/>
      <c r="J28" s="86"/>
    </row>
    <row r="29" customHeight="1" spans="1:17">
      <c r="A29" s="87"/>
      <c r="B29" s="87"/>
      <c r="C29" s="86"/>
      <c r="D29" s="87"/>
      <c r="E29" s="86"/>
      <c r="F29" s="86"/>
      <c r="G29" s="86"/>
      <c r="H29" s="86"/>
      <c r="I29" s="92"/>
      <c r="J29" s="86"/>
    </row>
    <row r="30" customHeight="1" spans="1:17">
      <c r="A30" s="87"/>
      <c r="B30" s="87"/>
      <c r="C30" s="86"/>
      <c r="D30" s="87"/>
      <c r="E30" s="86"/>
      <c r="F30" s="86"/>
      <c r="G30" s="86"/>
      <c r="H30" s="86"/>
      <c r="I30" s="92"/>
      <c r="J30" s="86"/>
    </row>
    <row r="31" customHeight="1" spans="1:17">
      <c r="A31" s="87"/>
      <c r="B31" s="87"/>
      <c r="C31" s="86"/>
      <c r="D31" s="87"/>
      <c r="E31" s="86"/>
      <c r="F31" s="86"/>
      <c r="G31" s="86"/>
      <c r="H31" s="86"/>
      <c r="I31" s="92"/>
      <c r="J31" s="86"/>
    </row>
    <row r="32" ht="57" customHeight="1" spans="1:17">
      <c r="A32" s="6" t="s">
        <v>16</v>
      </c>
      <c r="B32" s="6"/>
      <c r="C32" s="6"/>
      <c r="D32" s="6"/>
      <c r="E32" s="6"/>
      <c r="F32" s="6"/>
      <c r="G32" s="6"/>
      <c r="H32" s="6"/>
      <c r="I32" s="5"/>
      <c r="J32" s="6"/>
      <c r="K32" s="80"/>
      <c r="L32" s="80"/>
      <c r="M32" s="80"/>
      <c r="N32" s="80"/>
      <c r="O32" s="80"/>
      <c r="P32" s="80"/>
      <c r="Q32" s="80"/>
    </row>
    <row r="33" customHeight="1" spans="1:17">
      <c r="A33" s="87"/>
      <c r="B33" s="87"/>
      <c r="C33" s="86"/>
      <c r="D33" s="87"/>
      <c r="E33" s="86"/>
      <c r="F33" s="86"/>
      <c r="G33" s="86"/>
      <c r="H33" s="86"/>
      <c r="I33" s="92"/>
      <c r="J33" s="86"/>
    </row>
    <row r="34" customHeight="1" spans="1:17">
      <c r="A34" s="93"/>
      <c r="B34" s="87"/>
      <c r="C34" s="86"/>
      <c r="D34" s="87"/>
      <c r="E34" s="86"/>
      <c r="F34" s="86"/>
      <c r="G34" s="86"/>
      <c r="H34" s="86"/>
      <c r="I34" s="92"/>
      <c r="J34" s="86"/>
    </row>
    <row r="35" customHeight="1" spans="1:17">
      <c r="A35" s="93"/>
      <c r="B35" s="87"/>
      <c r="C35" s="86"/>
      <c r="D35" s="87"/>
      <c r="E35" s="86"/>
      <c r="F35" s="86"/>
      <c r="G35" s="86"/>
      <c r="H35" s="86"/>
      <c r="I35" s="92"/>
      <c r="J35" s="86"/>
    </row>
    <row r="36" customHeight="1" spans="1:17">
      <c r="A36" s="93"/>
      <c r="B36" s="87"/>
      <c r="C36" s="86"/>
      <c r="D36" s="87"/>
      <c r="E36" s="86"/>
      <c r="F36" s="86"/>
      <c r="G36" s="86"/>
      <c r="H36" s="86"/>
      <c r="I36" s="92"/>
      <c r="J36" s="86"/>
    </row>
    <row r="37" ht="57" customHeight="1" spans="1:17">
      <c r="A37" s="6" t="s">
        <v>17</v>
      </c>
      <c r="B37" s="6"/>
      <c r="C37" s="6"/>
      <c r="D37" s="6"/>
      <c r="E37" s="6"/>
      <c r="F37" s="6"/>
      <c r="G37" s="6"/>
      <c r="H37" s="6"/>
      <c r="I37" s="5"/>
      <c r="J37" s="6"/>
      <c r="K37" s="80"/>
      <c r="L37" s="80"/>
      <c r="M37" s="80"/>
      <c r="N37" s="80"/>
      <c r="O37" s="80"/>
      <c r="P37" s="80"/>
      <c r="Q37" s="80"/>
    </row>
    <row r="38" customHeight="1" spans="1:17">
      <c r="A38" s="93"/>
      <c r="B38" s="87"/>
      <c r="C38" s="86"/>
      <c r="D38" s="87"/>
      <c r="E38" s="86"/>
      <c r="F38" s="86"/>
      <c r="G38" s="86"/>
      <c r="H38" s="86"/>
      <c r="I38" s="92"/>
      <c r="J38" s="86"/>
    </row>
    <row r="39" customHeight="1" spans="1:17">
      <c r="A39" s="93"/>
      <c r="B39" s="87"/>
      <c r="C39" s="86"/>
      <c r="D39" s="87"/>
      <c r="E39" s="86"/>
      <c r="F39" s="86"/>
      <c r="G39" s="86"/>
      <c r="H39" s="86"/>
      <c r="I39" s="92"/>
      <c r="J39" s="86"/>
    </row>
    <row r="40" customHeight="1" spans="1:17">
      <c r="A40" s="93"/>
      <c r="B40" s="87"/>
      <c r="C40" s="86"/>
      <c r="D40" s="87"/>
      <c r="E40" s="86"/>
      <c r="F40" s="86"/>
      <c r="G40" s="86"/>
      <c r="H40" s="86"/>
      <c r="I40" s="92"/>
      <c r="J40" s="86"/>
    </row>
    <row r="41" customHeight="1" spans="1:17">
      <c r="A41" s="93"/>
      <c r="B41" s="87"/>
      <c r="C41" s="86"/>
      <c r="D41" s="87"/>
      <c r="E41" s="86"/>
      <c r="F41" s="86"/>
      <c r="G41" s="86"/>
      <c r="H41" s="86"/>
      <c r="I41" s="92"/>
      <c r="J41" s="86"/>
    </row>
    <row r="42" ht="57" customHeight="1" spans="1:17">
      <c r="A42" s="6" t="s">
        <v>18</v>
      </c>
      <c r="B42" s="6"/>
      <c r="C42" s="6"/>
      <c r="D42" s="6"/>
      <c r="E42" s="6"/>
      <c r="F42" s="6"/>
      <c r="G42" s="6"/>
      <c r="H42" s="6"/>
      <c r="I42" s="5"/>
      <c r="J42" s="6"/>
      <c r="K42" s="80"/>
      <c r="L42" s="80"/>
      <c r="M42" s="80"/>
      <c r="N42" s="80"/>
      <c r="O42" s="80"/>
      <c r="P42" s="80"/>
      <c r="Q42" s="80"/>
    </row>
    <row r="43" customHeight="1" spans="1:17">
      <c r="A43" s="93"/>
      <c r="B43" s="87"/>
      <c r="C43" s="86"/>
      <c r="D43" s="87"/>
      <c r="E43" s="86"/>
      <c r="F43" s="86"/>
      <c r="G43" s="86"/>
      <c r="H43" s="86"/>
      <c r="I43" s="92"/>
      <c r="J43" s="86"/>
    </row>
    <row r="44" customHeight="1" spans="1:17">
      <c r="A44" s="93"/>
      <c r="B44" s="87"/>
      <c r="C44" s="86"/>
      <c r="D44" s="87"/>
      <c r="E44" s="86"/>
      <c r="F44" s="86"/>
      <c r="G44" s="86"/>
      <c r="H44" s="86"/>
      <c r="I44" s="92"/>
      <c r="J44" s="86"/>
    </row>
    <row r="45" customHeight="1" spans="1:17">
      <c r="A45" s="93"/>
      <c r="B45" s="87"/>
      <c r="C45" s="86"/>
      <c r="D45" s="87"/>
      <c r="E45" s="86"/>
      <c r="F45" s="86"/>
      <c r="G45" s="86"/>
      <c r="H45" s="86"/>
      <c r="I45" s="92"/>
      <c r="J45" s="86"/>
    </row>
    <row r="46" customHeight="1" spans="1:17">
      <c r="A46" s="93"/>
      <c r="B46" s="87"/>
      <c r="C46" s="86"/>
      <c r="D46" s="87"/>
      <c r="E46" s="86"/>
      <c r="F46" s="86"/>
      <c r="G46" s="86"/>
      <c r="H46" s="86"/>
      <c r="I46" s="92"/>
      <c r="J46" s="86"/>
    </row>
    <row r="47" ht="57" customHeight="1" spans="1:17">
      <c r="A47" s="6" t="s">
        <v>19</v>
      </c>
      <c r="B47" s="6"/>
      <c r="C47" s="6"/>
      <c r="D47" s="6"/>
      <c r="E47" s="6"/>
      <c r="F47" s="6"/>
      <c r="G47" s="6"/>
      <c r="H47" s="6"/>
      <c r="I47" s="5"/>
      <c r="J47" s="6"/>
      <c r="K47" s="80"/>
      <c r="L47" s="80"/>
      <c r="M47" s="80"/>
      <c r="N47" s="80"/>
      <c r="O47" s="80"/>
      <c r="P47" s="80"/>
      <c r="Q47" s="80"/>
    </row>
    <row r="48" customHeight="1" spans="1:17">
      <c r="A48" s="93"/>
      <c r="B48" s="87"/>
      <c r="C48" s="86"/>
      <c r="D48" s="87"/>
      <c r="E48" s="86"/>
      <c r="F48" s="86"/>
      <c r="G48" s="86"/>
      <c r="H48" s="86"/>
      <c r="I48" s="92"/>
      <c r="J48" s="86"/>
    </row>
    <row r="49" customHeight="1" spans="1:17">
      <c r="A49" s="93"/>
      <c r="B49" s="87"/>
      <c r="C49" s="86"/>
      <c r="D49" s="87"/>
      <c r="E49" s="86"/>
      <c r="F49" s="86"/>
      <c r="G49" s="86"/>
      <c r="H49" s="86"/>
      <c r="I49" s="92"/>
      <c r="J49" s="86"/>
    </row>
    <row r="50" customHeight="1" spans="1:17">
      <c r="A50" s="93"/>
      <c r="B50" s="86"/>
      <c r="C50" s="86"/>
      <c r="D50" s="86"/>
      <c r="E50" s="86"/>
      <c r="F50" s="86"/>
      <c r="G50" s="86"/>
      <c r="H50" s="86"/>
      <c r="I50" s="92"/>
      <c r="J50" s="86"/>
    </row>
    <row r="51" customHeight="1" spans="1:17">
      <c r="A51" s="93"/>
      <c r="B51" s="86"/>
      <c r="C51" s="86"/>
      <c r="D51" s="86"/>
      <c r="E51" s="86"/>
      <c r="F51" s="86"/>
      <c r="G51" s="86"/>
      <c r="H51" s="86"/>
      <c r="I51" s="92"/>
      <c r="J51" s="86"/>
    </row>
    <row r="52" ht="57" customHeight="1" spans="1:17">
      <c r="A52" s="6" t="s">
        <v>20</v>
      </c>
      <c r="B52" s="6"/>
      <c r="C52" s="6"/>
      <c r="D52" s="6"/>
      <c r="E52" s="6"/>
      <c r="F52" s="6"/>
      <c r="G52" s="6"/>
      <c r="H52" s="6"/>
      <c r="I52" s="5"/>
      <c r="J52" s="6"/>
      <c r="K52" s="80"/>
      <c r="L52" s="80"/>
      <c r="M52" s="80"/>
      <c r="N52" s="80"/>
      <c r="O52" s="80"/>
      <c r="P52" s="80"/>
      <c r="Q52" s="80"/>
    </row>
    <row r="53" customHeight="1" spans="1:17">
      <c r="A53" s="93"/>
      <c r="B53" s="86"/>
      <c r="C53" s="86"/>
      <c r="D53" s="86"/>
      <c r="E53" s="86"/>
      <c r="F53" s="86"/>
      <c r="G53" s="86"/>
      <c r="H53" s="86"/>
      <c r="I53" s="92"/>
      <c r="J53" s="86"/>
    </row>
    <row r="54" customHeight="1" spans="1:17">
      <c r="A54" s="93"/>
      <c r="B54" s="86"/>
      <c r="C54" s="86"/>
      <c r="D54" s="86"/>
      <c r="E54" s="86"/>
      <c r="F54" s="86"/>
      <c r="G54" s="86"/>
      <c r="H54" s="86"/>
      <c r="I54" s="92"/>
      <c r="J54" s="86"/>
    </row>
    <row r="55" customHeight="1" spans="1:17">
      <c r="A55" s="93"/>
      <c r="B55" s="86"/>
      <c r="C55" s="86"/>
      <c r="D55" s="86"/>
      <c r="E55" s="86"/>
      <c r="F55" s="86"/>
      <c r="G55" s="86"/>
      <c r="H55" s="86"/>
      <c r="I55" s="92"/>
      <c r="J55" s="86"/>
    </row>
    <row r="56" customHeight="1" spans="1:17">
      <c r="A56" s="93"/>
      <c r="B56" s="86"/>
      <c r="C56" s="86"/>
      <c r="D56" s="86"/>
      <c r="E56" s="86"/>
      <c r="F56" s="86"/>
      <c r="G56" s="86"/>
      <c r="H56" s="86"/>
      <c r="I56" s="92"/>
      <c r="J56" s="86"/>
    </row>
    <row r="57" ht="57" customHeight="1" spans="1:17">
      <c r="A57" s="6" t="s">
        <v>21</v>
      </c>
      <c r="B57" s="6"/>
      <c r="C57" s="6"/>
      <c r="D57" s="6"/>
      <c r="E57" s="6"/>
      <c r="F57" s="6"/>
      <c r="G57" s="6"/>
      <c r="H57" s="6"/>
      <c r="I57" s="5"/>
      <c r="J57" s="6"/>
      <c r="K57" s="80"/>
      <c r="L57" s="80"/>
      <c r="M57" s="80"/>
      <c r="N57" s="80"/>
      <c r="O57" s="80"/>
      <c r="P57" s="80"/>
      <c r="Q57" s="80"/>
    </row>
    <row r="58" customHeight="1" spans="1:17">
      <c r="A58" s="93"/>
      <c r="B58" s="87"/>
      <c r="C58" s="86"/>
      <c r="D58" s="87"/>
      <c r="E58" s="86"/>
      <c r="F58" s="86"/>
      <c r="G58" s="86"/>
      <c r="H58" s="86"/>
      <c r="I58" s="92"/>
      <c r="J58" s="86"/>
    </row>
    <row r="59" customHeight="1" spans="1:17">
      <c r="A59" s="93"/>
      <c r="B59" s="87"/>
      <c r="C59" s="86"/>
      <c r="D59" s="87"/>
      <c r="E59" s="86"/>
      <c r="F59" s="86"/>
      <c r="G59" s="86"/>
      <c r="H59" s="86"/>
      <c r="I59" s="92"/>
      <c r="J59" s="86"/>
    </row>
    <row r="60" customHeight="1" spans="1:17">
      <c r="A60" s="93"/>
      <c r="B60" s="87"/>
      <c r="C60" s="86"/>
      <c r="D60" s="87"/>
      <c r="E60" s="86"/>
      <c r="F60" s="86"/>
      <c r="G60" s="86"/>
      <c r="H60" s="86"/>
      <c r="I60" s="92"/>
      <c r="J60" s="86"/>
    </row>
    <row r="61" customHeight="1" spans="1:17">
      <c r="A61" s="93"/>
      <c r="B61" s="87"/>
      <c r="C61" s="86"/>
      <c r="D61" s="87"/>
      <c r="E61" s="86"/>
      <c r="F61" s="86"/>
      <c r="G61" s="86"/>
      <c r="H61" s="86"/>
      <c r="I61" s="92"/>
      <c r="J61" s="86"/>
    </row>
    <row r="62" ht="57" customHeight="1" spans="1:17">
      <c r="A62" s="6" t="s">
        <v>22</v>
      </c>
      <c r="B62" s="6"/>
      <c r="C62" s="6"/>
      <c r="D62" s="6"/>
      <c r="E62" s="6"/>
      <c r="F62" s="6"/>
      <c r="G62" s="6"/>
      <c r="H62" s="6"/>
      <c r="I62" s="5"/>
      <c r="J62" s="6"/>
      <c r="K62" s="80"/>
      <c r="L62" s="80"/>
      <c r="M62" s="80"/>
      <c r="N62" s="80"/>
      <c r="O62" s="80"/>
      <c r="P62" s="80"/>
      <c r="Q62" s="80"/>
    </row>
    <row r="63" customHeight="1" spans="1:17">
      <c r="A63" s="93"/>
      <c r="B63" s="87"/>
      <c r="C63" s="86"/>
      <c r="D63" s="87"/>
      <c r="E63" s="86"/>
      <c r="F63" s="86"/>
      <c r="G63" s="86"/>
      <c r="H63" s="86"/>
      <c r="I63" s="92"/>
      <c r="J63" s="86"/>
    </row>
    <row r="64" customHeight="1" spans="1:17">
      <c r="A64" s="93"/>
      <c r="B64" s="87"/>
      <c r="C64" s="86"/>
      <c r="D64" s="87"/>
      <c r="E64" s="86"/>
      <c r="F64" s="86"/>
      <c r="G64" s="86"/>
      <c r="H64" s="86"/>
      <c r="I64" s="92"/>
      <c r="J64" s="86"/>
    </row>
    <row r="65" customHeight="1" spans="1:16">
      <c r="A65" s="93"/>
      <c r="B65" s="87"/>
      <c r="C65" s="86"/>
      <c r="D65" s="87"/>
      <c r="E65" s="86"/>
      <c r="F65" s="86"/>
      <c r="G65" s="86"/>
      <c r="H65" s="86"/>
      <c r="I65" s="92"/>
      <c r="J65" s="86"/>
    </row>
    <row r="66" customHeight="1" spans="1:16">
      <c r="A66" s="93"/>
      <c r="B66" s="87"/>
      <c r="C66" s="86"/>
      <c r="D66" s="87"/>
      <c r="E66" s="86"/>
      <c r="F66" s="86"/>
      <c r="G66" s="86"/>
      <c r="H66" s="86"/>
      <c r="I66" s="92"/>
      <c r="J66" s="86"/>
    </row>
    <row r="67" customHeight="1" spans="1:16">
      <c r="A67" s="93"/>
      <c r="B67" s="87"/>
      <c r="C67" s="86"/>
      <c r="D67" s="87"/>
      <c r="E67" s="86"/>
      <c r="F67" s="86"/>
      <c r="G67" s="86"/>
      <c r="H67" s="86"/>
      <c r="I67" s="92"/>
      <c r="J67" s="86"/>
    </row>
    <row r="68" customHeight="1" spans="1:16">
      <c r="A68" s="94"/>
      <c r="B68" s="94"/>
      <c r="C68" s="95"/>
      <c r="D68" s="94"/>
      <c r="E68" s="95"/>
      <c r="F68" s="95"/>
      <c r="G68" s="95"/>
      <c r="H68" s="95"/>
      <c r="I68" s="96"/>
      <c r="J68" s="95"/>
      <c r="K68" s="95"/>
      <c r="L68" s="94"/>
      <c r="M68" s="94"/>
      <c r="N68" s="97"/>
      <c r="O68" s="95"/>
      <c r="P68" s="94"/>
    </row>
    <row r="69" customHeight="1" spans="1:16">
      <c r="A69" s="94"/>
      <c r="B69" s="94"/>
      <c r="C69" s="95"/>
      <c r="D69" s="94"/>
      <c r="E69" s="95"/>
      <c r="F69" s="95"/>
      <c r="G69" s="95"/>
      <c r="H69" s="95"/>
      <c r="I69" s="96"/>
      <c r="J69" s="95"/>
      <c r="K69" s="95"/>
      <c r="L69" s="94"/>
      <c r="M69" s="94"/>
      <c r="N69" s="97"/>
      <c r="O69" s="95"/>
      <c r="P69" s="94"/>
    </row>
    <row r="70" customHeight="1" spans="1:16">
      <c r="A70" s="94"/>
      <c r="B70" s="94"/>
      <c r="C70" s="95"/>
      <c r="D70" s="94"/>
      <c r="E70" s="95"/>
      <c r="F70" s="95"/>
      <c r="G70" s="95"/>
      <c r="H70" s="95"/>
      <c r="I70" s="96"/>
      <c r="J70" s="95"/>
      <c r="K70" s="95"/>
      <c r="L70" s="94"/>
      <c r="M70" s="94"/>
      <c r="N70" s="97"/>
      <c r="O70" s="95"/>
      <c r="P70" s="94"/>
    </row>
    <row r="71" customHeight="1" spans="1:16">
      <c r="A71" s="94"/>
      <c r="B71" s="94"/>
      <c r="C71" s="95"/>
      <c r="D71" s="94"/>
      <c r="E71" s="95"/>
      <c r="F71" s="95"/>
      <c r="G71" s="95"/>
      <c r="H71" s="95"/>
      <c r="I71" s="96"/>
      <c r="J71" s="95"/>
      <c r="K71" s="95"/>
      <c r="L71" s="94"/>
      <c r="M71" s="94"/>
      <c r="N71" s="97"/>
      <c r="O71" s="95"/>
      <c r="P71" s="94"/>
    </row>
    <row r="72" customHeight="1" spans="1:16">
      <c r="A72" s="94"/>
      <c r="B72" s="94"/>
      <c r="C72" s="95"/>
      <c r="D72" s="94"/>
      <c r="E72" s="95"/>
      <c r="F72" s="95"/>
      <c r="G72" s="95"/>
      <c r="H72" s="95"/>
      <c r="I72" s="96"/>
      <c r="J72" s="95"/>
      <c r="K72" s="95"/>
      <c r="L72" s="94"/>
      <c r="M72" s="94"/>
      <c r="N72" s="97"/>
      <c r="O72" s="95"/>
      <c r="P72" s="94"/>
    </row>
    <row r="73" customHeight="1" spans="1:16">
      <c r="A73" s="94"/>
      <c r="B73" s="94"/>
      <c r="C73" s="95"/>
      <c r="D73" s="94"/>
      <c r="E73" s="95"/>
      <c r="F73" s="95"/>
      <c r="G73" s="95"/>
      <c r="H73" s="95"/>
      <c r="I73" s="96"/>
      <c r="J73" s="95"/>
      <c r="K73" s="95"/>
      <c r="L73" s="94"/>
      <c r="M73" s="94"/>
      <c r="N73" s="97"/>
      <c r="O73" s="95"/>
      <c r="P73" s="94"/>
    </row>
    <row r="74" customHeight="1" spans="1:16">
      <c r="A74" s="94"/>
      <c r="B74" s="94"/>
      <c r="C74" s="95"/>
      <c r="D74" s="94"/>
      <c r="E74" s="95"/>
      <c r="F74" s="95"/>
      <c r="G74" s="95"/>
      <c r="H74" s="95"/>
      <c r="I74" s="96"/>
      <c r="J74" s="95"/>
      <c r="K74" s="95"/>
      <c r="L74" s="94"/>
      <c r="M74" s="94"/>
      <c r="N74" s="97"/>
      <c r="O74" s="95"/>
      <c r="P74" s="94"/>
    </row>
    <row r="75" customHeight="1" spans="1:16">
      <c r="A75" s="94"/>
      <c r="B75" s="94"/>
      <c r="C75" s="95"/>
      <c r="D75" s="94"/>
      <c r="E75" s="95"/>
      <c r="F75" s="95"/>
      <c r="G75" s="95"/>
      <c r="H75" s="95"/>
      <c r="I75" s="96"/>
      <c r="J75" s="95"/>
      <c r="K75" s="95"/>
      <c r="L75" s="94"/>
      <c r="M75" s="94"/>
      <c r="N75" s="97"/>
      <c r="O75" s="95"/>
      <c r="P75" s="94"/>
    </row>
    <row r="76" customHeight="1" spans="1:16">
      <c r="A76" s="94"/>
      <c r="B76" s="94"/>
      <c r="C76" s="95"/>
      <c r="D76" s="94"/>
      <c r="E76" s="95"/>
      <c r="F76" s="95"/>
      <c r="G76" s="95"/>
      <c r="H76" s="95"/>
      <c r="I76" s="96"/>
      <c r="J76" s="95"/>
      <c r="K76" s="95"/>
      <c r="L76" s="94"/>
      <c r="M76" s="94"/>
      <c r="N76" s="97"/>
      <c r="O76" s="95"/>
      <c r="P76" s="94"/>
    </row>
    <row r="77" customHeight="1" spans="1:16">
      <c r="A77" s="94"/>
      <c r="B77" s="94"/>
      <c r="C77" s="95"/>
      <c r="D77" s="94"/>
      <c r="E77" s="95"/>
      <c r="F77" s="95"/>
      <c r="G77" s="95"/>
      <c r="H77" s="95"/>
      <c r="I77" s="96"/>
      <c r="J77" s="95"/>
      <c r="K77" s="95"/>
      <c r="L77" s="94"/>
      <c r="M77" s="94"/>
      <c r="N77" s="97"/>
      <c r="O77" s="95"/>
      <c r="P77" s="94"/>
    </row>
    <row r="78" customHeight="1" spans="1:16">
      <c r="A78" s="94"/>
      <c r="B78" s="94"/>
      <c r="C78" s="95"/>
      <c r="D78" s="94"/>
      <c r="E78" s="95"/>
      <c r="F78" s="95"/>
      <c r="G78" s="95"/>
      <c r="H78" s="95"/>
      <c r="I78" s="96"/>
      <c r="J78" s="95"/>
      <c r="K78" s="95"/>
      <c r="L78" s="94"/>
      <c r="M78" s="94"/>
      <c r="N78" s="97"/>
      <c r="O78" s="95"/>
      <c r="P78" s="94"/>
    </row>
  </sheetData>
  <mergeCells count="12">
    <mergeCell ref="A1:J1"/>
    <mergeCell ref="A13:J13"/>
    <mergeCell ref="A18:J18"/>
    <mergeCell ref="A22:J22"/>
    <mergeCell ref="A27:J27"/>
    <mergeCell ref="A32:J32"/>
    <mergeCell ref="A37:J37"/>
    <mergeCell ref="A42:J42"/>
    <mergeCell ref="A47:J47"/>
    <mergeCell ref="A52:J52"/>
    <mergeCell ref="A57:J57"/>
    <mergeCell ref="A62:J62"/>
  </mergeCells>
  <pageMargins left="0.314583333333333" right="0.145138888888889" top="0.724305555555556" bottom="0.747916666666667" header="0.314583333333333" footer="0.314583333333333"/>
  <pageSetup paperSize="9" scale="5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2"/>
  <sheetViews>
    <sheetView tabSelected="1" view="pageBreakPreview" zoomScale="85" zoomScaleNormal="85" workbookViewId="0">
      <selection activeCell="B7" sqref="B7"/>
    </sheetView>
  </sheetViews>
  <sheetFormatPr defaultColWidth="15.6" defaultRowHeight="27.75" customHeight="1"/>
  <cols>
    <col min="1" max="1" width="5" customWidth="1"/>
    <col min="2" max="2" width="7.49166666666667" style="1" customWidth="1"/>
    <col min="3" max="3" width="10" style="1" customWidth="1"/>
    <col min="4" max="4" width="8.08333333333333" style="1" customWidth="1"/>
    <col min="5" max="5" width="7.49166666666667" style="1" customWidth="1"/>
    <col min="6" max="6" width="10.1416666666667" style="1" customWidth="1"/>
    <col min="7" max="8" width="7.93333333333333" style="1" customWidth="1"/>
    <col min="9" max="10" width="7.93333333333333" customWidth="1"/>
    <col min="11" max="11" width="9.40833333333333" customWidth="1"/>
    <col min="12" max="12" width="9.55833333333333" customWidth="1"/>
    <col min="13" max="13" width="11.25" customWidth="1"/>
    <col min="14" max="14" width="11.0583333333333" style="2" customWidth="1"/>
    <col min="15" max="15" width="12.1416666666667" customWidth="1"/>
    <col min="16" max="16" width="14.85" customWidth="1"/>
    <col min="17" max="17" width="31.625" customWidth="1"/>
  </cols>
  <sheetData>
    <row r="1" customFormat="1" ht="24" customHeight="1" spans="1:18">
      <c r="A1" s="3" t="s">
        <v>23</v>
      </c>
      <c r="B1" s="4"/>
      <c r="C1" s="4"/>
      <c r="D1" s="4"/>
      <c r="E1" s="4"/>
      <c r="F1" s="5"/>
      <c r="G1" s="5"/>
      <c r="H1" s="5"/>
      <c r="I1" s="6"/>
      <c r="J1" s="6"/>
      <c r="K1" s="6"/>
      <c r="L1" s="6"/>
      <c r="M1" s="7"/>
      <c r="N1" s="6"/>
      <c r="O1" s="6"/>
      <c r="P1" s="3"/>
    </row>
    <row r="2" ht="30" customHeight="1" spans="1:18">
      <c r="A2" s="8" t="s">
        <v>24</v>
      </c>
      <c r="B2" s="9"/>
      <c r="C2" s="9"/>
      <c r="D2" s="9"/>
      <c r="E2" s="9"/>
      <c r="F2" s="10"/>
      <c r="G2" s="11" t="s">
        <v>25</v>
      </c>
      <c r="H2" s="12"/>
      <c r="I2" s="13"/>
      <c r="J2" s="13"/>
      <c r="K2" s="14"/>
      <c r="L2" s="15" t="s">
        <v>26</v>
      </c>
      <c r="M2" s="16"/>
      <c r="N2" s="17"/>
      <c r="O2" s="18"/>
      <c r="P2" s="19"/>
      <c r="Q2" s="19"/>
    </row>
    <row r="3" ht="52" customHeight="1" spans="1:18">
      <c r="A3" s="20" t="s">
        <v>27</v>
      </c>
      <c r="B3" s="21" t="s">
        <v>28</v>
      </c>
      <c r="C3" s="21" t="s">
        <v>29</v>
      </c>
      <c r="D3" s="21" t="s">
        <v>30</v>
      </c>
      <c r="E3" s="21" t="s">
        <v>31</v>
      </c>
      <c r="F3" s="22" t="s">
        <v>6</v>
      </c>
      <c r="G3" s="22" t="s">
        <v>28</v>
      </c>
      <c r="H3" s="22" t="s">
        <v>29</v>
      </c>
      <c r="I3" s="23" t="s">
        <v>30</v>
      </c>
      <c r="J3" s="23" t="s">
        <v>31</v>
      </c>
      <c r="K3" s="23" t="s">
        <v>7</v>
      </c>
      <c r="L3" s="24" t="s">
        <v>8</v>
      </c>
      <c r="M3" s="25" t="s">
        <v>32</v>
      </c>
      <c r="N3" s="25" t="s">
        <v>33</v>
      </c>
      <c r="O3" s="26" t="s">
        <v>9</v>
      </c>
      <c r="P3" s="27" t="s">
        <v>1</v>
      </c>
      <c r="Q3" s="100" t="s">
        <v>34</v>
      </c>
      <c r="R3" s="28" t="s">
        <v>35</v>
      </c>
    </row>
    <row r="4" ht="52" customHeight="1" spans="1:18">
      <c r="A4" s="20" t="s">
        <v>36</v>
      </c>
      <c r="B4" s="29">
        <v>68.92</v>
      </c>
      <c r="C4" s="30">
        <v>118.77</v>
      </c>
      <c r="D4" s="31">
        <f t="shared" ref="D4:D8" si="0">C4-B4</f>
        <v>49.85</v>
      </c>
      <c r="E4" s="31">
        <v>60</v>
      </c>
      <c r="F4" s="32">
        <f t="shared" ref="F4:F8" si="1">D4*E4</f>
        <v>2991</v>
      </c>
      <c r="G4" s="29">
        <v>21.12</v>
      </c>
      <c r="H4" s="30">
        <v>36.62</v>
      </c>
      <c r="I4" s="32">
        <f t="shared" ref="I4:I8" si="2">H4-G4</f>
        <v>15.5</v>
      </c>
      <c r="J4" s="32">
        <v>100</v>
      </c>
      <c r="K4" s="32">
        <f t="shared" ref="K4:K8" si="3">I4*J4</f>
        <v>1550</v>
      </c>
      <c r="L4" s="32">
        <f t="shared" ref="L4:L8" si="4">F4-K4</f>
        <v>1441</v>
      </c>
      <c r="M4" s="17">
        <v>0.95786875</v>
      </c>
      <c r="N4" s="17">
        <f t="shared" ref="N4:N6" si="5">M4-0.15</f>
        <v>0.80786875</v>
      </c>
      <c r="O4" s="33">
        <f t="shared" ref="O4:O7" si="6">L4*N4</f>
        <v>1164.13886875</v>
      </c>
      <c r="P4" s="27" t="s">
        <v>2</v>
      </c>
      <c r="Q4" s="100" t="s">
        <v>37</v>
      </c>
      <c r="R4" s="28"/>
    </row>
    <row r="5" ht="52" customHeight="1" spans="1:18">
      <c r="A5" s="20" t="s">
        <v>38</v>
      </c>
      <c r="B5" s="29">
        <v>66.39</v>
      </c>
      <c r="C5" s="30">
        <v>113.4</v>
      </c>
      <c r="D5" s="31">
        <f t="shared" si="0"/>
        <v>47.01</v>
      </c>
      <c r="E5" s="31">
        <v>60</v>
      </c>
      <c r="F5" s="32">
        <f t="shared" si="1"/>
        <v>2820.6</v>
      </c>
      <c r="G5" s="29">
        <v>19.01</v>
      </c>
      <c r="H5" s="30">
        <v>33.62</v>
      </c>
      <c r="I5" s="32">
        <f t="shared" si="2"/>
        <v>14.61</v>
      </c>
      <c r="J5" s="32">
        <v>100</v>
      </c>
      <c r="K5" s="32">
        <f t="shared" si="3"/>
        <v>1461</v>
      </c>
      <c r="L5" s="32">
        <f t="shared" si="4"/>
        <v>1359.6</v>
      </c>
      <c r="M5" s="17">
        <v>0.95786875</v>
      </c>
      <c r="N5" s="17">
        <f t="shared" si="5"/>
        <v>0.80786875</v>
      </c>
      <c r="O5" s="33">
        <f t="shared" si="6"/>
        <v>1098.3783525</v>
      </c>
      <c r="P5" s="27" t="s">
        <v>3</v>
      </c>
      <c r="Q5" s="34" t="s">
        <v>39</v>
      </c>
    </row>
    <row r="6" ht="52" customHeight="1" spans="1:18">
      <c r="A6" s="20" t="s">
        <v>40</v>
      </c>
      <c r="B6" s="29">
        <v>119.44</v>
      </c>
      <c r="C6" s="30">
        <v>198.02</v>
      </c>
      <c r="D6" s="31">
        <f t="shared" si="0"/>
        <v>78.58</v>
      </c>
      <c r="E6" s="31">
        <v>60</v>
      </c>
      <c r="F6" s="32">
        <f t="shared" si="1"/>
        <v>4714.8</v>
      </c>
      <c r="G6" s="29">
        <v>44.46</v>
      </c>
      <c r="H6" s="30">
        <v>74.64</v>
      </c>
      <c r="I6" s="32">
        <f t="shared" si="2"/>
        <v>30.18</v>
      </c>
      <c r="J6" s="32">
        <v>100</v>
      </c>
      <c r="K6" s="32">
        <f t="shared" si="3"/>
        <v>3018</v>
      </c>
      <c r="L6" s="32">
        <f t="shared" si="4"/>
        <v>1696.8</v>
      </c>
      <c r="M6" s="17">
        <v>0.71406875</v>
      </c>
      <c r="N6" s="17">
        <f t="shared" si="5"/>
        <v>0.56406875</v>
      </c>
      <c r="O6" s="33">
        <f t="shared" si="6"/>
        <v>957.111855000001</v>
      </c>
      <c r="P6" s="27" t="s">
        <v>4</v>
      </c>
      <c r="Q6" s="100" t="s">
        <v>34</v>
      </c>
    </row>
    <row r="7" ht="52" customHeight="1" spans="1:18">
      <c r="A7" s="35" t="s">
        <v>41</v>
      </c>
      <c r="B7" s="36">
        <v>3.6</v>
      </c>
      <c r="C7" s="37">
        <v>4.95</v>
      </c>
      <c r="D7" s="38">
        <f t="shared" si="0"/>
        <v>1.35</v>
      </c>
      <c r="E7" s="38">
        <v>60</v>
      </c>
      <c r="F7" s="39">
        <f t="shared" si="1"/>
        <v>81</v>
      </c>
      <c r="G7" s="36">
        <v>1.08</v>
      </c>
      <c r="H7" s="37">
        <v>1.35</v>
      </c>
      <c r="I7" s="39">
        <f t="shared" si="2"/>
        <v>0.27</v>
      </c>
      <c r="J7" s="39">
        <v>100</v>
      </c>
      <c r="K7" s="39">
        <f t="shared" si="3"/>
        <v>27</v>
      </c>
      <c r="L7" s="39">
        <f t="shared" si="4"/>
        <v>54</v>
      </c>
      <c r="M7" s="40">
        <v>0.22636875</v>
      </c>
      <c r="N7" s="40">
        <f>M7</f>
        <v>0.22636875</v>
      </c>
      <c r="O7" s="41">
        <f t="shared" si="6"/>
        <v>12.2239125</v>
      </c>
      <c r="P7" s="42" t="s">
        <v>5</v>
      </c>
      <c r="Q7" s="34" t="s">
        <v>42</v>
      </c>
    </row>
    <row r="8" customFormat="1" ht="52" customHeight="1" spans="1:18">
      <c r="A8" s="20" t="s">
        <v>43</v>
      </c>
      <c r="B8" s="43">
        <v>258.37</v>
      </c>
      <c r="C8" s="44">
        <v>435.15</v>
      </c>
      <c r="D8" s="31">
        <f t="shared" si="0"/>
        <v>176.78</v>
      </c>
      <c r="E8" s="31">
        <v>60</v>
      </c>
      <c r="F8" s="32">
        <f t="shared" si="1"/>
        <v>10606.8</v>
      </c>
      <c r="G8" s="43">
        <v>85.67</v>
      </c>
      <c r="H8" s="44">
        <v>146.24</v>
      </c>
      <c r="I8" s="32">
        <f t="shared" si="2"/>
        <v>60.57</v>
      </c>
      <c r="J8" s="32">
        <v>100</v>
      </c>
      <c r="K8" s="32">
        <f t="shared" si="3"/>
        <v>6057</v>
      </c>
      <c r="L8" s="32">
        <f t="shared" si="4"/>
        <v>4549.8</v>
      </c>
      <c r="M8" s="45"/>
      <c r="N8" s="45"/>
      <c r="O8" s="33">
        <f>SUM(O4:O7)</f>
        <v>3231.85298875</v>
      </c>
      <c r="P8" s="46"/>
      <c r="Q8" s="47"/>
    </row>
    <row r="9" customFormat="1" ht="37" customHeight="1" spans="1:18">
      <c r="A9" s="48" t="s">
        <v>44</v>
      </c>
      <c r="B9" s="49"/>
      <c r="C9" s="50"/>
      <c r="D9" s="49"/>
      <c r="E9" s="50"/>
      <c r="F9" s="51"/>
      <c r="G9" s="51"/>
      <c r="H9" s="51"/>
      <c r="I9" s="51"/>
      <c r="J9" s="51"/>
      <c r="K9" s="52"/>
      <c r="L9" s="52"/>
      <c r="M9" s="53" t="s">
        <v>45</v>
      </c>
      <c r="N9" s="53"/>
      <c r="O9" s="54" t="s">
        <v>46</v>
      </c>
      <c r="P9" s="55"/>
    </row>
    <row r="10" customFormat="1" ht="37" customHeight="1" spans="1:18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2"/>
      <c r="L10" s="57"/>
      <c r="M10" s="56"/>
      <c r="N10" s="56"/>
      <c r="O10" s="56"/>
      <c r="P10" s="56"/>
    </row>
    <row r="11" customFormat="1" customHeight="1" spans="1:18">
      <c r="A11" s="3" t="s">
        <v>23</v>
      </c>
      <c r="B11" s="4"/>
      <c r="C11" s="4"/>
      <c r="D11" s="4"/>
      <c r="E11" s="4"/>
      <c r="F11" s="5"/>
      <c r="G11" s="5"/>
      <c r="H11" s="5"/>
      <c r="I11" s="6"/>
      <c r="J11" s="6"/>
      <c r="K11" s="6"/>
      <c r="L11" s="6"/>
      <c r="M11" s="7"/>
      <c r="N11" s="6"/>
      <c r="O11" s="6"/>
      <c r="P11" s="3"/>
    </row>
    <row r="12" customFormat="1" ht="30" customHeight="1" spans="1:18">
      <c r="A12" s="8" t="s">
        <v>24</v>
      </c>
      <c r="B12" s="9"/>
      <c r="C12" s="9"/>
      <c r="D12" s="9"/>
      <c r="E12" s="9"/>
      <c r="F12" s="10"/>
      <c r="G12" s="11" t="s">
        <v>25</v>
      </c>
      <c r="H12" s="12"/>
      <c r="I12" s="13"/>
      <c r="J12" s="13"/>
      <c r="K12" s="14"/>
      <c r="L12" s="15" t="s">
        <v>26</v>
      </c>
      <c r="M12" s="16"/>
      <c r="N12" s="17"/>
      <c r="O12" s="18"/>
      <c r="P12" s="19"/>
      <c r="Q12" s="19"/>
    </row>
    <row r="13" ht="52" customHeight="1" spans="1:18">
      <c r="A13" s="20" t="s">
        <v>27</v>
      </c>
      <c r="B13" s="21" t="s">
        <v>28</v>
      </c>
      <c r="C13" s="21" t="s">
        <v>29</v>
      </c>
      <c r="D13" s="21" t="s">
        <v>30</v>
      </c>
      <c r="E13" s="21" t="s">
        <v>31</v>
      </c>
      <c r="F13" s="22" t="s">
        <v>6</v>
      </c>
      <c r="G13" s="22" t="s">
        <v>28</v>
      </c>
      <c r="H13" s="22" t="s">
        <v>29</v>
      </c>
      <c r="I13" s="23" t="s">
        <v>30</v>
      </c>
      <c r="J13" s="23" t="s">
        <v>31</v>
      </c>
      <c r="K13" s="23" t="s">
        <v>7</v>
      </c>
      <c r="L13" s="24" t="s">
        <v>8</v>
      </c>
      <c r="M13" s="25" t="s">
        <v>32</v>
      </c>
      <c r="N13" s="25" t="s">
        <v>33</v>
      </c>
      <c r="O13" s="26" t="s">
        <v>9</v>
      </c>
      <c r="P13" s="27" t="s">
        <v>1</v>
      </c>
      <c r="Q13" s="100" t="s">
        <v>47</v>
      </c>
      <c r="R13" s="28"/>
    </row>
    <row r="14" ht="52" customHeight="1" spans="1:18">
      <c r="A14" s="20" t="s">
        <v>36</v>
      </c>
      <c r="B14" s="29">
        <v>1082.78</v>
      </c>
      <c r="C14" s="30">
        <v>1846.27</v>
      </c>
      <c r="D14" s="31">
        <f t="shared" ref="D14:D18" si="7">C14-B14</f>
        <v>763.49</v>
      </c>
      <c r="E14" s="31">
        <v>1</v>
      </c>
      <c r="F14" s="32">
        <f t="shared" ref="F14:F18" si="8">D14*E14</f>
        <v>763.49</v>
      </c>
      <c r="G14" s="30">
        <v>5.51</v>
      </c>
      <c r="H14" s="30">
        <v>9.16</v>
      </c>
      <c r="I14" s="32">
        <f t="shared" ref="I14:I18" si="9">H14-G14</f>
        <v>3.65</v>
      </c>
      <c r="J14" s="32">
        <v>40</v>
      </c>
      <c r="K14" s="32">
        <f t="shared" ref="K14:K18" si="10">I14*J14</f>
        <v>146</v>
      </c>
      <c r="L14" s="32">
        <f t="shared" ref="L14:L18" si="11">F14-K14</f>
        <v>617.49</v>
      </c>
      <c r="M14" s="17">
        <v>0.95786875</v>
      </c>
      <c r="N14" s="17">
        <f t="shared" ref="N14:N16" si="12">M14-0.15</f>
        <v>0.80786875</v>
      </c>
      <c r="O14" s="33">
        <f t="shared" ref="O14:O17" si="13">L14*N14</f>
        <v>498.8508744375</v>
      </c>
      <c r="P14" s="27" t="s">
        <v>2</v>
      </c>
      <c r="Q14" s="100" t="s">
        <v>48</v>
      </c>
    </row>
    <row r="15" ht="52" customHeight="1" spans="1:18">
      <c r="A15" s="20" t="s">
        <v>38</v>
      </c>
      <c r="B15" s="29">
        <v>1079.47</v>
      </c>
      <c r="C15" s="30">
        <v>1849.74</v>
      </c>
      <c r="D15" s="31">
        <f t="shared" si="7"/>
        <v>770.27</v>
      </c>
      <c r="E15" s="31">
        <v>1</v>
      </c>
      <c r="F15" s="32">
        <f t="shared" si="8"/>
        <v>770.27</v>
      </c>
      <c r="G15" s="30">
        <v>5.81</v>
      </c>
      <c r="H15" s="30">
        <v>9.57</v>
      </c>
      <c r="I15" s="32">
        <f t="shared" si="9"/>
        <v>3.76</v>
      </c>
      <c r="J15" s="32">
        <v>40</v>
      </c>
      <c r="K15" s="32">
        <f t="shared" si="10"/>
        <v>150.4</v>
      </c>
      <c r="L15" s="32">
        <f t="shared" si="11"/>
        <v>619.87</v>
      </c>
      <c r="M15" s="17">
        <v>0.95786875</v>
      </c>
      <c r="N15" s="17">
        <f t="shared" si="12"/>
        <v>0.80786875</v>
      </c>
      <c r="O15" s="33">
        <f t="shared" si="13"/>
        <v>500.7736020625</v>
      </c>
      <c r="P15" s="27" t="s">
        <v>3</v>
      </c>
      <c r="Q15" s="34" t="s">
        <v>49</v>
      </c>
    </row>
    <row r="16" ht="52" customHeight="1" spans="1:18">
      <c r="A16" s="20" t="s">
        <v>40</v>
      </c>
      <c r="B16" s="29">
        <v>1983.75</v>
      </c>
      <c r="C16" s="30">
        <v>3291.94</v>
      </c>
      <c r="D16" s="31">
        <f t="shared" si="7"/>
        <v>1308.19</v>
      </c>
      <c r="E16" s="31">
        <v>1</v>
      </c>
      <c r="F16" s="32">
        <f t="shared" si="8"/>
        <v>1308.19</v>
      </c>
      <c r="G16" s="30">
        <v>30.23</v>
      </c>
      <c r="H16" s="30">
        <v>46.44</v>
      </c>
      <c r="I16" s="32">
        <f t="shared" si="9"/>
        <v>16.21</v>
      </c>
      <c r="J16" s="32">
        <v>40</v>
      </c>
      <c r="K16" s="32">
        <f t="shared" si="10"/>
        <v>648.4</v>
      </c>
      <c r="L16" s="32">
        <f t="shared" si="11"/>
        <v>659.79</v>
      </c>
      <c r="M16" s="17">
        <v>0.71406875</v>
      </c>
      <c r="N16" s="17">
        <f t="shared" si="12"/>
        <v>0.56406875</v>
      </c>
      <c r="O16" s="33">
        <f t="shared" si="13"/>
        <v>372.1669205625</v>
      </c>
      <c r="P16" s="27" t="s">
        <v>4</v>
      </c>
      <c r="Q16" s="100" t="s">
        <v>47</v>
      </c>
    </row>
    <row r="17" ht="52" customHeight="1" spans="1:18">
      <c r="A17" s="20" t="s">
        <v>41</v>
      </c>
      <c r="B17" s="29">
        <v>63.69</v>
      </c>
      <c r="C17" s="30">
        <v>86.11</v>
      </c>
      <c r="D17" s="31">
        <f t="shared" si="7"/>
        <v>22.42</v>
      </c>
      <c r="E17" s="31">
        <v>1</v>
      </c>
      <c r="F17" s="32">
        <f t="shared" si="8"/>
        <v>22.42</v>
      </c>
      <c r="G17" s="30">
        <v>1.42</v>
      </c>
      <c r="H17" s="30">
        <v>1.5</v>
      </c>
      <c r="I17" s="32">
        <f t="shared" si="9"/>
        <v>0.0800000000000001</v>
      </c>
      <c r="J17" s="32">
        <v>40</v>
      </c>
      <c r="K17" s="32">
        <f t="shared" si="10"/>
        <v>3.2</v>
      </c>
      <c r="L17" s="32">
        <f t="shared" si="11"/>
        <v>19.22</v>
      </c>
      <c r="M17" s="17">
        <v>0.22636875</v>
      </c>
      <c r="N17" s="17">
        <f>M17</f>
        <v>0.22636875</v>
      </c>
      <c r="O17" s="33">
        <f t="shared" si="13"/>
        <v>4.350807375</v>
      </c>
      <c r="P17" s="27" t="s">
        <v>5</v>
      </c>
      <c r="Q17" s="34" t="s">
        <v>50</v>
      </c>
    </row>
    <row r="18" customFormat="1" ht="52" customHeight="1" spans="1:18">
      <c r="A18" s="20" t="s">
        <v>43</v>
      </c>
      <c r="B18" s="29">
        <v>4209.69</v>
      </c>
      <c r="C18" s="30">
        <v>7074.07</v>
      </c>
      <c r="D18" s="31">
        <f t="shared" si="7"/>
        <v>2864.38</v>
      </c>
      <c r="E18" s="31">
        <v>1</v>
      </c>
      <c r="F18" s="32">
        <f t="shared" si="8"/>
        <v>2864.38</v>
      </c>
      <c r="G18" s="30">
        <v>42.99</v>
      </c>
      <c r="H18" s="30">
        <v>66.69</v>
      </c>
      <c r="I18" s="32">
        <f t="shared" si="9"/>
        <v>23.7</v>
      </c>
      <c r="J18" s="32">
        <v>40</v>
      </c>
      <c r="K18" s="32">
        <f t="shared" si="10"/>
        <v>948</v>
      </c>
      <c r="L18" s="32">
        <f t="shared" si="11"/>
        <v>1916.38</v>
      </c>
      <c r="M18" s="58"/>
      <c r="N18" s="45"/>
      <c r="O18" s="33">
        <f>SUM(O14:O17)</f>
        <v>1376.1422044375</v>
      </c>
      <c r="P18" s="46"/>
    </row>
    <row r="19" customFormat="1" ht="37" customHeight="1" spans="1:18">
      <c r="A19" s="59" t="s">
        <v>44</v>
      </c>
      <c r="B19" s="60"/>
      <c r="C19" s="61"/>
      <c r="D19" s="60"/>
      <c r="E19" s="61"/>
      <c r="F19" s="62"/>
      <c r="G19" s="62"/>
      <c r="H19" s="62"/>
      <c r="I19" s="63"/>
      <c r="J19" s="63"/>
      <c r="K19" s="64"/>
      <c r="L19" s="64"/>
      <c r="M19" s="65"/>
      <c r="N19" s="65" t="s">
        <v>45</v>
      </c>
      <c r="O19" s="66" t="s">
        <v>46</v>
      </c>
    </row>
    <row r="20" customFormat="1" ht="37" customHeight="1" spans="1:18">
      <c r="A20" s="59"/>
      <c r="B20" s="60"/>
      <c r="C20" s="61"/>
      <c r="D20" s="60"/>
      <c r="E20" s="61"/>
      <c r="F20" s="62"/>
      <c r="G20" s="62"/>
      <c r="H20" s="62"/>
      <c r="I20" s="63"/>
      <c r="J20" s="63"/>
      <c r="K20" s="64"/>
      <c r="L20" s="64"/>
      <c r="M20" s="67"/>
      <c r="N20" s="65"/>
      <c r="O20" s="66"/>
    </row>
    <row r="21" customFormat="1" customHeight="1" spans="1:18">
      <c r="A21" s="3" t="s">
        <v>23</v>
      </c>
      <c r="B21" s="4"/>
      <c r="C21" s="4"/>
      <c r="D21" s="4"/>
      <c r="E21" s="4"/>
      <c r="F21" s="5"/>
      <c r="G21" s="5"/>
      <c r="H21" s="5"/>
      <c r="I21" s="6"/>
      <c r="J21" s="6"/>
      <c r="K21" s="6"/>
      <c r="L21" s="6"/>
      <c r="M21" s="7"/>
      <c r="N21" s="6"/>
      <c r="O21" s="6"/>
      <c r="P21" s="3"/>
    </row>
    <row r="22" customFormat="1" ht="30" customHeight="1" spans="1:18">
      <c r="A22" s="8" t="s">
        <v>24</v>
      </c>
      <c r="B22" s="9"/>
      <c r="C22" s="9"/>
      <c r="D22" s="9"/>
      <c r="E22" s="9"/>
      <c r="F22" s="10"/>
      <c r="G22" s="11" t="s">
        <v>25</v>
      </c>
      <c r="H22" s="12"/>
      <c r="I22" s="13"/>
      <c r="J22" s="13"/>
      <c r="K22" s="14"/>
      <c r="L22" s="15" t="s">
        <v>26</v>
      </c>
      <c r="M22" s="16"/>
      <c r="N22" s="17"/>
      <c r="O22" s="18"/>
      <c r="P22" s="19"/>
      <c r="Q22" s="19"/>
    </row>
    <row r="23" customFormat="1" ht="52" customHeight="1" spans="1:18">
      <c r="A23" s="20" t="s">
        <v>27</v>
      </c>
      <c r="B23" s="21" t="s">
        <v>28</v>
      </c>
      <c r="C23" s="21" t="s">
        <v>29</v>
      </c>
      <c r="D23" s="21" t="s">
        <v>30</v>
      </c>
      <c r="E23" s="21" t="s">
        <v>31</v>
      </c>
      <c r="F23" s="22" t="s">
        <v>6</v>
      </c>
      <c r="G23" s="22" t="s">
        <v>28</v>
      </c>
      <c r="H23" s="22" t="s">
        <v>29</v>
      </c>
      <c r="I23" s="23" t="s">
        <v>30</v>
      </c>
      <c r="J23" s="23" t="s">
        <v>31</v>
      </c>
      <c r="K23" s="23" t="s">
        <v>7</v>
      </c>
      <c r="L23" s="24" t="s">
        <v>8</v>
      </c>
      <c r="M23" s="25" t="s">
        <v>32</v>
      </c>
      <c r="N23" s="25" t="s">
        <v>33</v>
      </c>
      <c r="O23" s="26" t="s">
        <v>9</v>
      </c>
      <c r="P23" s="27" t="s">
        <v>1</v>
      </c>
      <c r="Q23" s="100" t="s">
        <v>51</v>
      </c>
      <c r="R23" s="28"/>
    </row>
    <row r="24" customFormat="1" ht="57" customHeight="1" spans="1:18">
      <c r="A24" s="20" t="s">
        <v>36</v>
      </c>
      <c r="B24" s="29">
        <v>58.73</v>
      </c>
      <c r="C24" s="30">
        <v>97.8</v>
      </c>
      <c r="D24" s="31">
        <f t="shared" ref="D24:D28" si="14">C24-B24</f>
        <v>39.07</v>
      </c>
      <c r="E24" s="31">
        <v>60</v>
      </c>
      <c r="F24" s="32">
        <f t="shared" ref="F24:F28" si="15">D24*E24</f>
        <v>2344.2</v>
      </c>
      <c r="G24" s="30">
        <v>57.84</v>
      </c>
      <c r="H24" s="30">
        <v>96.45</v>
      </c>
      <c r="I24" s="32">
        <f t="shared" ref="I24:I28" si="16">H24-G24</f>
        <v>38.61</v>
      </c>
      <c r="J24" s="32">
        <v>60</v>
      </c>
      <c r="K24" s="32">
        <f t="shared" ref="K24:K28" si="17">I24*J24</f>
        <v>2316.6</v>
      </c>
      <c r="L24" s="33">
        <f t="shared" ref="L24:L28" si="18">F24-K24</f>
        <v>27.5999999999999</v>
      </c>
      <c r="M24" s="17">
        <v>0.95786875</v>
      </c>
      <c r="N24" s="17">
        <f t="shared" ref="N24:N26" si="19">M24-0.15</f>
        <v>0.80786875</v>
      </c>
      <c r="O24" s="33">
        <f t="shared" ref="O24:O27" si="20">L24*N24</f>
        <v>22.2971774999999</v>
      </c>
      <c r="P24" s="27" t="s">
        <v>2</v>
      </c>
      <c r="Q24" s="100" t="s">
        <v>52</v>
      </c>
    </row>
    <row r="25" customFormat="1" ht="57" customHeight="1" spans="1:18">
      <c r="A25" s="20" t="s">
        <v>38</v>
      </c>
      <c r="B25" s="29">
        <v>55.42</v>
      </c>
      <c r="C25" s="30">
        <v>90.53</v>
      </c>
      <c r="D25" s="31">
        <f t="shared" si="14"/>
        <v>35.11</v>
      </c>
      <c r="E25" s="31">
        <v>60</v>
      </c>
      <c r="F25" s="32">
        <f t="shared" si="15"/>
        <v>2106.6</v>
      </c>
      <c r="G25" s="30">
        <v>54.79</v>
      </c>
      <c r="H25" s="30">
        <v>89.54</v>
      </c>
      <c r="I25" s="32">
        <f t="shared" si="16"/>
        <v>34.75</v>
      </c>
      <c r="J25" s="32">
        <v>60</v>
      </c>
      <c r="K25" s="32">
        <f t="shared" si="17"/>
        <v>2085</v>
      </c>
      <c r="L25" s="33">
        <f t="shared" si="18"/>
        <v>21.5999999999995</v>
      </c>
      <c r="M25" s="17">
        <v>0.95786875</v>
      </c>
      <c r="N25" s="17">
        <f t="shared" si="19"/>
        <v>0.80786875</v>
      </c>
      <c r="O25" s="33">
        <f t="shared" si="20"/>
        <v>17.4499649999996</v>
      </c>
      <c r="P25" s="27" t="s">
        <v>3</v>
      </c>
      <c r="Q25" s="68" t="s">
        <v>53</v>
      </c>
    </row>
    <row r="26" customFormat="1" ht="57" customHeight="1" spans="1:18">
      <c r="A26" s="20" t="s">
        <v>40</v>
      </c>
      <c r="B26" s="29">
        <v>92</v>
      </c>
      <c r="C26" s="30">
        <v>144.91</v>
      </c>
      <c r="D26" s="31">
        <f t="shared" si="14"/>
        <v>52.91</v>
      </c>
      <c r="E26" s="31">
        <v>60</v>
      </c>
      <c r="F26" s="32">
        <f t="shared" si="15"/>
        <v>3174.6</v>
      </c>
      <c r="G26" s="30">
        <v>91.06</v>
      </c>
      <c r="H26" s="30">
        <v>143.52</v>
      </c>
      <c r="I26" s="32">
        <f t="shared" si="16"/>
        <v>52.46</v>
      </c>
      <c r="J26" s="32">
        <v>60</v>
      </c>
      <c r="K26" s="32">
        <f t="shared" si="17"/>
        <v>3147.6</v>
      </c>
      <c r="L26" s="33">
        <f t="shared" si="18"/>
        <v>26.9999999999995</v>
      </c>
      <c r="M26" s="17">
        <v>0.71406875</v>
      </c>
      <c r="N26" s="17">
        <f t="shared" si="19"/>
        <v>0.56406875</v>
      </c>
      <c r="O26" s="33">
        <f t="shared" si="20"/>
        <v>15.2298562499997</v>
      </c>
      <c r="P26" s="27" t="s">
        <v>4</v>
      </c>
      <c r="Q26" s="100" t="s">
        <v>51</v>
      </c>
    </row>
    <row r="27" customFormat="1" ht="57" customHeight="1" spans="1:18">
      <c r="A27" s="20" t="s">
        <v>41</v>
      </c>
      <c r="B27" s="29">
        <v>2.25</v>
      </c>
      <c r="C27" s="30">
        <v>3</v>
      </c>
      <c r="D27" s="31">
        <f t="shared" si="14"/>
        <v>0.75</v>
      </c>
      <c r="E27" s="31">
        <v>60</v>
      </c>
      <c r="F27" s="32">
        <f t="shared" si="15"/>
        <v>45</v>
      </c>
      <c r="G27" s="30">
        <v>2.15</v>
      </c>
      <c r="H27" s="30">
        <v>2.86</v>
      </c>
      <c r="I27" s="32">
        <f t="shared" si="16"/>
        <v>0.71</v>
      </c>
      <c r="J27" s="32">
        <v>60</v>
      </c>
      <c r="K27" s="32">
        <f t="shared" si="17"/>
        <v>42.6</v>
      </c>
      <c r="L27" s="33">
        <f t="shared" si="18"/>
        <v>2.40000000000001</v>
      </c>
      <c r="M27" s="17">
        <v>0.22636875</v>
      </c>
      <c r="N27" s="17">
        <f>M27</f>
        <v>0.22636875</v>
      </c>
      <c r="O27" s="33">
        <f t="shared" si="20"/>
        <v>0.543285000000002</v>
      </c>
      <c r="P27" s="27" t="s">
        <v>5</v>
      </c>
      <c r="Q27" s="69" t="s">
        <v>54</v>
      </c>
    </row>
    <row r="28" customFormat="1" ht="57" customHeight="1" spans="1:18">
      <c r="A28" s="20" t="s">
        <v>43</v>
      </c>
      <c r="B28" s="29">
        <v>208.41</v>
      </c>
      <c r="C28" s="30">
        <v>336.26</v>
      </c>
      <c r="D28" s="31">
        <f t="shared" si="14"/>
        <v>127.85</v>
      </c>
      <c r="E28" s="31">
        <v>60</v>
      </c>
      <c r="F28" s="32">
        <f t="shared" si="15"/>
        <v>7671</v>
      </c>
      <c r="G28" s="30">
        <v>205.86</v>
      </c>
      <c r="H28" s="30">
        <v>332.39</v>
      </c>
      <c r="I28" s="32">
        <f t="shared" si="16"/>
        <v>126.53</v>
      </c>
      <c r="J28" s="32">
        <v>60</v>
      </c>
      <c r="K28" s="32">
        <f t="shared" si="17"/>
        <v>7591.8</v>
      </c>
      <c r="L28" s="33">
        <f t="shared" si="18"/>
        <v>79.2000000000016</v>
      </c>
      <c r="M28" s="58"/>
      <c r="N28" s="45"/>
      <c r="O28" s="33">
        <f>SUM(O24:O27)</f>
        <v>55.5202837499992</v>
      </c>
      <c r="P28" s="46"/>
    </row>
    <row r="29" customFormat="1" ht="37" customHeight="1" spans="1:18">
      <c r="A29" s="59" t="s">
        <v>44</v>
      </c>
      <c r="B29" s="60"/>
      <c r="C29" s="61"/>
      <c r="D29" s="60"/>
      <c r="E29" s="61"/>
      <c r="F29" s="62"/>
      <c r="G29" s="62"/>
      <c r="H29" s="62"/>
      <c r="I29" s="63"/>
      <c r="J29" s="63"/>
      <c r="K29" s="64"/>
      <c r="L29" s="64"/>
      <c r="M29" s="65" t="s">
        <v>45</v>
      </c>
      <c r="N29" s="65"/>
      <c r="O29" s="66" t="s">
        <v>46</v>
      </c>
    </row>
    <row r="30" customFormat="1" ht="37" customHeight="1" spans="1:18">
      <c r="A30" s="59"/>
      <c r="B30" s="60"/>
      <c r="C30" s="61"/>
      <c r="D30" s="60"/>
      <c r="E30" s="61"/>
      <c r="F30" s="62"/>
      <c r="G30" s="62"/>
      <c r="H30" s="62"/>
      <c r="I30" s="63"/>
      <c r="J30" s="63"/>
      <c r="K30" s="64"/>
      <c r="L30" s="64"/>
      <c r="M30" s="67"/>
      <c r="N30" s="65"/>
      <c r="O30" s="66"/>
    </row>
    <row r="31" customFormat="1" customHeight="1" spans="1:18">
      <c r="A31" s="3" t="s">
        <v>23</v>
      </c>
      <c r="B31" s="4"/>
      <c r="C31" s="4"/>
      <c r="D31" s="4"/>
      <c r="E31" s="4"/>
      <c r="F31" s="5"/>
      <c r="G31" s="5"/>
      <c r="H31" s="5"/>
      <c r="I31" s="6"/>
      <c r="J31" s="6"/>
      <c r="K31" s="6"/>
      <c r="L31" s="6"/>
      <c r="M31" s="7"/>
      <c r="N31" s="6"/>
      <c r="O31" s="6"/>
      <c r="P31" s="3"/>
    </row>
    <row r="32" customFormat="1" customHeight="1" spans="1:18">
      <c r="A32" s="8" t="s">
        <v>24</v>
      </c>
      <c r="B32" s="9"/>
      <c r="C32" s="9"/>
      <c r="D32" s="9"/>
      <c r="E32" s="9"/>
      <c r="F32" s="10"/>
      <c r="G32" s="11" t="s">
        <v>25</v>
      </c>
      <c r="H32" s="12"/>
      <c r="I32" s="13"/>
      <c r="J32" s="13"/>
      <c r="K32" s="14"/>
      <c r="L32" s="15" t="s">
        <v>26</v>
      </c>
      <c r="M32" s="16"/>
      <c r="N32" s="17"/>
      <c r="O32" s="18"/>
      <c r="P32" s="19"/>
    </row>
    <row r="33" ht="52" customHeight="1" spans="1:18">
      <c r="A33" s="70" t="s">
        <v>27</v>
      </c>
      <c r="B33" s="71" t="s">
        <v>28</v>
      </c>
      <c r="C33" s="21" t="s">
        <v>29</v>
      </c>
      <c r="D33" s="71" t="s">
        <v>30</v>
      </c>
      <c r="E33" s="21" t="s">
        <v>31</v>
      </c>
      <c r="F33" s="22" t="s">
        <v>6</v>
      </c>
      <c r="G33" s="22" t="s">
        <v>28</v>
      </c>
      <c r="H33" s="22" t="s">
        <v>29</v>
      </c>
      <c r="I33" s="23" t="s">
        <v>30</v>
      </c>
      <c r="J33" s="23" t="s">
        <v>31</v>
      </c>
      <c r="K33" s="26" t="s">
        <v>7</v>
      </c>
      <c r="L33" s="72" t="s">
        <v>8</v>
      </c>
      <c r="M33" s="25" t="s">
        <v>32</v>
      </c>
      <c r="N33" s="25" t="s">
        <v>33</v>
      </c>
      <c r="O33" s="26" t="s">
        <v>9</v>
      </c>
      <c r="P33" s="27" t="s">
        <v>1</v>
      </c>
      <c r="Q33" s="100" t="s">
        <v>55</v>
      </c>
      <c r="R33" s="28"/>
    </row>
    <row r="34" ht="52" customHeight="1" spans="1:18">
      <c r="A34" s="20" t="s">
        <v>36</v>
      </c>
      <c r="B34" s="29">
        <v>65.14</v>
      </c>
      <c r="C34" s="30">
        <v>106.88</v>
      </c>
      <c r="D34" s="31">
        <f t="shared" ref="D34:D38" si="21">C34-B34</f>
        <v>41.74</v>
      </c>
      <c r="E34" s="31">
        <v>60</v>
      </c>
      <c r="F34" s="32">
        <f t="shared" ref="F34:F38" si="22">D34*E34</f>
        <v>2504.4</v>
      </c>
      <c r="G34" s="30">
        <v>13.56</v>
      </c>
      <c r="H34" s="30">
        <v>18.72</v>
      </c>
      <c r="I34" s="32">
        <f t="shared" ref="I34:I38" si="23">H34-G34</f>
        <v>5.16</v>
      </c>
      <c r="J34" s="32">
        <v>100</v>
      </c>
      <c r="K34" s="32">
        <f t="shared" ref="K34:K38" si="24">I34*J34</f>
        <v>516</v>
      </c>
      <c r="L34" s="32">
        <f t="shared" ref="L34:L38" si="25">F34-K34</f>
        <v>1988.4</v>
      </c>
      <c r="M34" s="17">
        <v>0.95786875</v>
      </c>
      <c r="N34" s="17">
        <f t="shared" ref="N34:N36" si="26">M34-0.15</f>
        <v>0.80786875</v>
      </c>
      <c r="O34" s="33">
        <f t="shared" ref="O34:O37" si="27">L34*N34</f>
        <v>1606.3662225</v>
      </c>
      <c r="P34" s="27" t="s">
        <v>2</v>
      </c>
      <c r="Q34" s="100" t="s">
        <v>56</v>
      </c>
    </row>
    <row r="35" ht="52" customHeight="1" spans="1:18">
      <c r="A35" s="20" t="s">
        <v>38</v>
      </c>
      <c r="B35" s="29">
        <v>63.34</v>
      </c>
      <c r="C35" s="30">
        <v>103.75</v>
      </c>
      <c r="D35" s="31">
        <f t="shared" si="21"/>
        <v>40.41</v>
      </c>
      <c r="E35" s="31">
        <v>60</v>
      </c>
      <c r="F35" s="32">
        <f t="shared" si="22"/>
        <v>2424.6</v>
      </c>
      <c r="G35" s="30">
        <v>8.75</v>
      </c>
      <c r="H35" s="30">
        <v>11.07</v>
      </c>
      <c r="I35" s="32">
        <f t="shared" si="23"/>
        <v>2.32</v>
      </c>
      <c r="J35" s="32">
        <v>100</v>
      </c>
      <c r="K35" s="32">
        <f t="shared" si="24"/>
        <v>232</v>
      </c>
      <c r="L35" s="32">
        <f t="shared" si="25"/>
        <v>2192.6</v>
      </c>
      <c r="M35" s="17">
        <v>0.95786875</v>
      </c>
      <c r="N35" s="17">
        <f t="shared" si="26"/>
        <v>0.80786875</v>
      </c>
      <c r="O35" s="33">
        <f t="shared" si="27"/>
        <v>1771.33302125</v>
      </c>
      <c r="P35" s="27" t="s">
        <v>3</v>
      </c>
      <c r="Q35" s="34" t="s">
        <v>57</v>
      </c>
    </row>
    <row r="36" ht="52" customHeight="1" spans="1:18">
      <c r="A36" s="20" t="s">
        <v>40</v>
      </c>
      <c r="B36" s="29">
        <v>119.81</v>
      </c>
      <c r="C36" s="30">
        <v>190.25</v>
      </c>
      <c r="D36" s="31">
        <f t="shared" si="21"/>
        <v>70.44</v>
      </c>
      <c r="E36" s="31">
        <v>60</v>
      </c>
      <c r="F36" s="32">
        <f t="shared" si="22"/>
        <v>4226.4</v>
      </c>
      <c r="G36" s="30">
        <v>31.4</v>
      </c>
      <c r="H36" s="30">
        <v>46.47</v>
      </c>
      <c r="I36" s="32">
        <f t="shared" si="23"/>
        <v>15.07</v>
      </c>
      <c r="J36" s="32">
        <v>100</v>
      </c>
      <c r="K36" s="32">
        <f t="shared" si="24"/>
        <v>1507</v>
      </c>
      <c r="L36" s="32">
        <f t="shared" si="25"/>
        <v>2719.4</v>
      </c>
      <c r="M36" s="17">
        <v>0.71406875</v>
      </c>
      <c r="N36" s="17">
        <f t="shared" si="26"/>
        <v>0.56406875</v>
      </c>
      <c r="O36" s="33">
        <f t="shared" si="27"/>
        <v>1533.92855875</v>
      </c>
      <c r="P36" s="27" t="s">
        <v>4</v>
      </c>
      <c r="Q36" s="100" t="s">
        <v>55</v>
      </c>
    </row>
    <row r="37" ht="52" customHeight="1" spans="1:18">
      <c r="A37" s="20" t="s">
        <v>41</v>
      </c>
      <c r="B37" s="29">
        <v>3.05</v>
      </c>
      <c r="C37" s="30">
        <v>4.07</v>
      </c>
      <c r="D37" s="31">
        <f t="shared" si="21"/>
        <v>1.02</v>
      </c>
      <c r="E37" s="31">
        <v>60</v>
      </c>
      <c r="F37" s="32">
        <f t="shared" si="22"/>
        <v>61.2</v>
      </c>
      <c r="G37" s="30">
        <v>0</v>
      </c>
      <c r="H37" s="30">
        <v>0.01</v>
      </c>
      <c r="I37" s="32">
        <f t="shared" si="23"/>
        <v>0.01</v>
      </c>
      <c r="J37" s="32">
        <v>100</v>
      </c>
      <c r="K37" s="32">
        <f t="shared" si="24"/>
        <v>1</v>
      </c>
      <c r="L37" s="32">
        <f t="shared" si="25"/>
        <v>60.2</v>
      </c>
      <c r="M37" s="17">
        <v>0.22636875</v>
      </c>
      <c r="N37" s="17">
        <f>M37</f>
        <v>0.22636875</v>
      </c>
      <c r="O37" s="33">
        <f t="shared" si="27"/>
        <v>13.62739875</v>
      </c>
      <c r="P37" s="27" t="s">
        <v>5</v>
      </c>
      <c r="Q37" s="69" t="s">
        <v>58</v>
      </c>
    </row>
    <row r="38" customFormat="1" ht="52" customHeight="1" spans="1:18">
      <c r="A38" s="20" t="s">
        <v>43</v>
      </c>
      <c r="B38" s="29">
        <v>251.36</v>
      </c>
      <c r="C38" s="30">
        <v>404.97</v>
      </c>
      <c r="D38" s="31">
        <f t="shared" si="21"/>
        <v>153.61</v>
      </c>
      <c r="E38" s="31">
        <v>60</v>
      </c>
      <c r="F38" s="32">
        <f t="shared" si="22"/>
        <v>9216.6</v>
      </c>
      <c r="G38" s="30">
        <v>53.72</v>
      </c>
      <c r="H38" s="30">
        <v>76.29</v>
      </c>
      <c r="I38" s="32">
        <f t="shared" si="23"/>
        <v>22.57</v>
      </c>
      <c r="J38" s="32">
        <v>100</v>
      </c>
      <c r="K38" s="32">
        <f t="shared" si="24"/>
        <v>2257</v>
      </c>
      <c r="L38" s="32">
        <f t="shared" si="25"/>
        <v>6959.6</v>
      </c>
      <c r="M38" s="58"/>
      <c r="N38" s="45"/>
      <c r="O38" s="33">
        <f>SUM(O34:O37)</f>
        <v>4925.25520125</v>
      </c>
      <c r="P38" s="73"/>
    </row>
    <row r="39" customFormat="1" ht="37" customHeight="1" spans="1:18">
      <c r="A39" s="59" t="s">
        <v>44</v>
      </c>
      <c r="B39" s="60"/>
      <c r="C39" s="61"/>
      <c r="D39" s="60"/>
      <c r="E39" s="61"/>
      <c r="F39" s="62"/>
      <c r="G39" s="62"/>
      <c r="H39" s="62"/>
      <c r="I39" s="63"/>
      <c r="J39" s="63"/>
      <c r="K39" s="64"/>
      <c r="L39" s="64"/>
      <c r="M39" s="65" t="s">
        <v>45</v>
      </c>
      <c r="N39" s="65"/>
      <c r="O39" s="66" t="s">
        <v>46</v>
      </c>
    </row>
    <row r="40" customFormat="1" ht="37" customHeight="1" spans="1:18">
      <c r="A40" s="59"/>
      <c r="B40" s="60"/>
      <c r="C40" s="61"/>
      <c r="D40" s="60"/>
      <c r="E40" s="61"/>
      <c r="F40" s="62"/>
      <c r="G40" s="62"/>
      <c r="H40" s="62"/>
      <c r="I40" s="63"/>
      <c r="J40" s="63"/>
      <c r="K40" s="64"/>
      <c r="L40" s="64"/>
      <c r="M40" s="67"/>
      <c r="N40" s="65"/>
      <c r="O40" s="66"/>
    </row>
    <row r="41" customFormat="1" customHeight="1" spans="1:18">
      <c r="A41" s="3" t="s">
        <v>23</v>
      </c>
      <c r="B41" s="4"/>
      <c r="C41" s="4"/>
      <c r="D41" s="4"/>
      <c r="E41" s="4"/>
      <c r="F41" s="5"/>
      <c r="G41" s="5"/>
      <c r="H41" s="5"/>
      <c r="I41" s="6"/>
      <c r="J41" s="6"/>
      <c r="K41" s="6"/>
      <c r="L41" s="6"/>
      <c r="M41" s="7"/>
      <c r="N41" s="6"/>
      <c r="O41" s="6"/>
      <c r="P41" s="3"/>
    </row>
    <row r="42" customFormat="1" customHeight="1" spans="1:18">
      <c r="A42" s="8" t="s">
        <v>24</v>
      </c>
      <c r="B42" s="9"/>
      <c r="C42" s="9"/>
      <c r="D42" s="9"/>
      <c r="E42" s="9"/>
      <c r="F42" s="10"/>
      <c r="G42" s="11" t="s">
        <v>25</v>
      </c>
      <c r="H42" s="12"/>
      <c r="I42" s="13"/>
      <c r="J42" s="13"/>
      <c r="K42" s="14"/>
      <c r="L42" s="15" t="s">
        <v>26</v>
      </c>
      <c r="M42" s="16"/>
      <c r="N42" s="17"/>
      <c r="O42" s="18"/>
      <c r="P42" s="19"/>
    </row>
    <row r="43" customFormat="1" ht="52" customHeight="1" spans="1:18">
      <c r="A43" s="70" t="s">
        <v>27</v>
      </c>
      <c r="B43" s="71" t="s">
        <v>28</v>
      </c>
      <c r="C43" s="21" t="s">
        <v>29</v>
      </c>
      <c r="D43" s="71" t="s">
        <v>30</v>
      </c>
      <c r="E43" s="21" t="s">
        <v>31</v>
      </c>
      <c r="F43" s="22" t="s">
        <v>6</v>
      </c>
      <c r="G43" s="22" t="s">
        <v>28</v>
      </c>
      <c r="H43" s="22" t="s">
        <v>29</v>
      </c>
      <c r="I43" s="23" t="s">
        <v>30</v>
      </c>
      <c r="J43" s="23" t="s">
        <v>31</v>
      </c>
      <c r="K43" s="26" t="s">
        <v>7</v>
      </c>
      <c r="L43" s="72" t="s">
        <v>8</v>
      </c>
      <c r="M43" s="25" t="s">
        <v>32</v>
      </c>
      <c r="N43" s="25" t="s">
        <v>33</v>
      </c>
      <c r="O43" s="26" t="s">
        <v>9</v>
      </c>
      <c r="P43" s="27" t="s">
        <v>1</v>
      </c>
      <c r="Q43" s="100" t="s">
        <v>59</v>
      </c>
      <c r="R43" s="28"/>
    </row>
    <row r="44" ht="52" customHeight="1" spans="1:18">
      <c r="A44" s="20" t="s">
        <v>36</v>
      </c>
      <c r="B44" s="29">
        <v>59.56</v>
      </c>
      <c r="C44" s="30">
        <v>106.01</v>
      </c>
      <c r="D44" s="31">
        <f t="shared" ref="D44:D48" si="28">C44-B44</f>
        <v>46.45</v>
      </c>
      <c r="E44" s="31">
        <v>60</v>
      </c>
      <c r="F44" s="32">
        <f t="shared" ref="F44:F48" si="29">D44*E44</f>
        <v>2787</v>
      </c>
      <c r="G44" s="30">
        <v>35.58</v>
      </c>
      <c r="H44" s="30">
        <v>50.93</v>
      </c>
      <c r="I44" s="32">
        <f t="shared" ref="I44:I48" si="30">H44-G44</f>
        <v>15.35</v>
      </c>
      <c r="J44" s="32">
        <v>100</v>
      </c>
      <c r="K44" s="32">
        <f t="shared" ref="K44:K48" si="31">I44*J44</f>
        <v>1535</v>
      </c>
      <c r="L44" s="32">
        <f t="shared" ref="L44:L48" si="32">F44-K44</f>
        <v>1252</v>
      </c>
      <c r="M44" s="17">
        <v>0.95786875</v>
      </c>
      <c r="N44" s="17">
        <f t="shared" ref="N44:N46" si="33">M44-0.15</f>
        <v>0.80786875</v>
      </c>
      <c r="O44" s="33">
        <f t="shared" ref="O44:O47" si="34">L44*N44</f>
        <v>1011.451675</v>
      </c>
      <c r="P44" s="27" t="s">
        <v>2</v>
      </c>
      <c r="Q44" s="100" t="s">
        <v>60</v>
      </c>
    </row>
    <row r="45" ht="52" customHeight="1" spans="1:18">
      <c r="A45" s="20" t="s">
        <v>38</v>
      </c>
      <c r="B45" s="29">
        <v>56.66</v>
      </c>
      <c r="C45" s="30">
        <v>99.85</v>
      </c>
      <c r="D45" s="31">
        <f t="shared" si="28"/>
        <v>43.19</v>
      </c>
      <c r="E45" s="31">
        <v>60</v>
      </c>
      <c r="F45" s="32">
        <f t="shared" si="29"/>
        <v>2591.4</v>
      </c>
      <c r="G45" s="30">
        <v>33.92</v>
      </c>
      <c r="H45" s="30">
        <v>49.56</v>
      </c>
      <c r="I45" s="32">
        <f t="shared" si="30"/>
        <v>15.64</v>
      </c>
      <c r="J45" s="32">
        <v>100</v>
      </c>
      <c r="K45" s="32">
        <f t="shared" si="31"/>
        <v>1564</v>
      </c>
      <c r="L45" s="32">
        <f t="shared" si="32"/>
        <v>1027.4</v>
      </c>
      <c r="M45" s="17">
        <v>0.95786875</v>
      </c>
      <c r="N45" s="17">
        <f t="shared" si="33"/>
        <v>0.80786875</v>
      </c>
      <c r="O45" s="33">
        <f t="shared" si="34"/>
        <v>830.00435375</v>
      </c>
      <c r="P45" s="27" t="s">
        <v>3</v>
      </c>
      <c r="Q45" s="34" t="s">
        <v>61</v>
      </c>
    </row>
    <row r="46" ht="52" customHeight="1" spans="1:18">
      <c r="A46" s="20" t="s">
        <v>40</v>
      </c>
      <c r="B46" s="29">
        <v>103.04</v>
      </c>
      <c r="C46" s="30">
        <v>175.9</v>
      </c>
      <c r="D46" s="31">
        <f t="shared" si="28"/>
        <v>72.86</v>
      </c>
      <c r="E46" s="31">
        <v>60</v>
      </c>
      <c r="F46" s="32">
        <f t="shared" si="29"/>
        <v>4371.6</v>
      </c>
      <c r="G46" s="30">
        <v>61.75</v>
      </c>
      <c r="H46" s="30">
        <v>90.47</v>
      </c>
      <c r="I46" s="32">
        <f t="shared" si="30"/>
        <v>28.72</v>
      </c>
      <c r="J46" s="32">
        <v>100</v>
      </c>
      <c r="K46" s="32">
        <f t="shared" si="31"/>
        <v>2872</v>
      </c>
      <c r="L46" s="32">
        <f t="shared" si="32"/>
        <v>1499.6</v>
      </c>
      <c r="M46" s="17">
        <v>0.71406875</v>
      </c>
      <c r="N46" s="17">
        <f t="shared" si="33"/>
        <v>0.56406875</v>
      </c>
      <c r="O46" s="33">
        <f t="shared" si="34"/>
        <v>845.8774975</v>
      </c>
      <c r="P46" s="27" t="s">
        <v>4</v>
      </c>
      <c r="Q46" s="100" t="s">
        <v>59</v>
      </c>
    </row>
    <row r="47" ht="52" customHeight="1" spans="1:18">
      <c r="A47" s="20" t="s">
        <v>41</v>
      </c>
      <c r="B47" s="29">
        <v>3.27</v>
      </c>
      <c r="C47" s="30">
        <v>4.48</v>
      </c>
      <c r="D47" s="31">
        <f t="shared" si="28"/>
        <v>1.21</v>
      </c>
      <c r="E47" s="31">
        <v>60</v>
      </c>
      <c r="F47" s="32">
        <f t="shared" si="29"/>
        <v>72.6</v>
      </c>
      <c r="G47" s="30">
        <v>1.99</v>
      </c>
      <c r="H47" s="30">
        <v>2.32</v>
      </c>
      <c r="I47" s="32">
        <f t="shared" si="30"/>
        <v>0.33</v>
      </c>
      <c r="J47" s="32">
        <v>100</v>
      </c>
      <c r="K47" s="32">
        <f t="shared" si="31"/>
        <v>33</v>
      </c>
      <c r="L47" s="32">
        <f t="shared" si="32"/>
        <v>39.6</v>
      </c>
      <c r="M47" s="17">
        <v>0.22636875</v>
      </c>
      <c r="N47" s="17">
        <f>M47</f>
        <v>0.22636875</v>
      </c>
      <c r="O47" s="33">
        <f t="shared" si="34"/>
        <v>8.9642025</v>
      </c>
      <c r="P47" s="27" t="s">
        <v>5</v>
      </c>
      <c r="Q47" s="69" t="s">
        <v>62</v>
      </c>
    </row>
    <row r="48" customFormat="1" ht="52" customHeight="1" spans="1:18">
      <c r="A48" s="20" t="s">
        <v>43</v>
      </c>
      <c r="B48" s="29">
        <v>222.54</v>
      </c>
      <c r="C48" s="30">
        <v>386.25</v>
      </c>
      <c r="D48" s="31">
        <f t="shared" si="28"/>
        <v>163.71</v>
      </c>
      <c r="E48" s="31">
        <v>60</v>
      </c>
      <c r="F48" s="32">
        <f t="shared" si="29"/>
        <v>9822.6</v>
      </c>
      <c r="G48" s="30">
        <v>133.25</v>
      </c>
      <c r="H48" s="30">
        <v>193.3</v>
      </c>
      <c r="I48" s="32">
        <f t="shared" si="30"/>
        <v>60.05</v>
      </c>
      <c r="J48" s="32">
        <v>100</v>
      </c>
      <c r="K48" s="32">
        <f t="shared" si="31"/>
        <v>6005</v>
      </c>
      <c r="L48" s="32">
        <f t="shared" si="32"/>
        <v>3817.6</v>
      </c>
      <c r="M48" s="45"/>
      <c r="N48" s="45"/>
      <c r="O48" s="33">
        <f>SUM(O44:O47)</f>
        <v>2696.29772875</v>
      </c>
      <c r="P48" s="73"/>
    </row>
    <row r="49" customFormat="1" ht="37" customHeight="1" spans="1:18">
      <c r="A49" s="59" t="s">
        <v>44</v>
      </c>
      <c r="B49" s="60"/>
      <c r="C49" s="61"/>
      <c r="D49" s="60"/>
      <c r="E49" s="61"/>
      <c r="F49" s="62"/>
      <c r="G49" s="62"/>
      <c r="H49" s="62"/>
      <c r="I49" s="63"/>
      <c r="J49" s="63"/>
      <c r="K49" s="64"/>
      <c r="L49" s="64"/>
      <c r="M49" s="65" t="s">
        <v>45</v>
      </c>
      <c r="N49" s="65"/>
      <c r="O49" s="66" t="s">
        <v>46</v>
      </c>
    </row>
    <row r="50" customFormat="1" ht="37" customHeight="1" spans="1:18">
      <c r="A50" s="59"/>
      <c r="B50" s="60"/>
      <c r="C50" s="61"/>
      <c r="D50" s="60"/>
      <c r="E50" s="61"/>
      <c r="F50" s="62"/>
      <c r="G50" s="62"/>
      <c r="H50" s="62"/>
      <c r="I50" s="63"/>
      <c r="J50" s="63"/>
      <c r="K50" s="64"/>
      <c r="L50" s="64"/>
      <c r="M50" s="67"/>
      <c r="N50" s="65"/>
      <c r="O50" s="66"/>
    </row>
    <row r="51" customFormat="1" customHeight="1" spans="1:18">
      <c r="A51" s="3" t="s">
        <v>23</v>
      </c>
      <c r="B51" s="4"/>
      <c r="C51" s="4"/>
      <c r="D51" s="4"/>
      <c r="E51" s="4"/>
      <c r="F51" s="5"/>
      <c r="G51" s="5"/>
      <c r="H51" s="5"/>
      <c r="I51" s="6"/>
      <c r="J51" s="6"/>
      <c r="K51" s="6"/>
      <c r="L51" s="6"/>
      <c r="M51" s="7"/>
      <c r="N51" s="6"/>
      <c r="O51" s="6"/>
      <c r="P51" s="3"/>
    </row>
    <row r="52" customFormat="1" customHeight="1" spans="1:18">
      <c r="A52" s="8" t="s">
        <v>24</v>
      </c>
      <c r="B52" s="9"/>
      <c r="C52" s="9"/>
      <c r="D52" s="9"/>
      <c r="E52" s="9"/>
      <c r="F52" s="10"/>
      <c r="G52" s="11" t="s">
        <v>25</v>
      </c>
      <c r="H52" s="12"/>
      <c r="I52" s="13"/>
      <c r="J52" s="13"/>
      <c r="K52" s="14"/>
      <c r="L52" s="15" t="s">
        <v>26</v>
      </c>
      <c r="M52" s="16"/>
      <c r="N52" s="17"/>
      <c r="O52" s="18"/>
      <c r="P52" s="19"/>
    </row>
    <row r="53" customFormat="1" ht="52" customHeight="1" spans="1:18">
      <c r="A53" s="70" t="s">
        <v>27</v>
      </c>
      <c r="B53" s="71" t="s">
        <v>28</v>
      </c>
      <c r="C53" s="21" t="s">
        <v>29</v>
      </c>
      <c r="D53" s="71" t="s">
        <v>30</v>
      </c>
      <c r="E53" s="21" t="s">
        <v>31</v>
      </c>
      <c r="F53" s="22" t="s">
        <v>6</v>
      </c>
      <c r="G53" s="22" t="s">
        <v>28</v>
      </c>
      <c r="H53" s="22" t="s">
        <v>29</v>
      </c>
      <c r="I53" s="23" t="s">
        <v>30</v>
      </c>
      <c r="J53" s="23" t="s">
        <v>31</v>
      </c>
      <c r="K53" s="26" t="s">
        <v>7</v>
      </c>
      <c r="L53" s="72" t="s">
        <v>8</v>
      </c>
      <c r="M53" s="25" t="s">
        <v>32</v>
      </c>
      <c r="N53" s="25" t="s">
        <v>33</v>
      </c>
      <c r="O53" s="26" t="s">
        <v>9</v>
      </c>
      <c r="P53" s="27" t="s">
        <v>1</v>
      </c>
      <c r="Q53" s="100" t="s">
        <v>63</v>
      </c>
      <c r="R53" s="28"/>
    </row>
    <row r="54" ht="52" customHeight="1" spans="1:18">
      <c r="A54" s="20" t="s">
        <v>36</v>
      </c>
      <c r="B54" s="29">
        <v>57.42</v>
      </c>
      <c r="C54" s="30">
        <v>101.48</v>
      </c>
      <c r="D54" s="31">
        <f t="shared" ref="D54:D58" si="35">C54-B54</f>
        <v>44.06</v>
      </c>
      <c r="E54" s="31">
        <v>60</v>
      </c>
      <c r="F54" s="32">
        <f t="shared" ref="F54:F58" si="36">D54*E54</f>
        <v>2643.6</v>
      </c>
      <c r="G54" s="30">
        <v>5.47</v>
      </c>
      <c r="H54" s="30">
        <v>7.58</v>
      </c>
      <c r="I54" s="32">
        <f t="shared" ref="I54:I58" si="37">H54-G54</f>
        <v>2.11</v>
      </c>
      <c r="J54" s="32">
        <v>100</v>
      </c>
      <c r="K54" s="32">
        <f t="shared" ref="K54:K58" si="38">I54*J54</f>
        <v>211</v>
      </c>
      <c r="L54" s="32">
        <f t="shared" ref="L54:L58" si="39">F54-K54</f>
        <v>2432.6</v>
      </c>
      <c r="M54" s="17">
        <v>0.95786875</v>
      </c>
      <c r="N54" s="17">
        <f t="shared" ref="N54:N56" si="40">M54-0.15</f>
        <v>0.80786875</v>
      </c>
      <c r="O54" s="33">
        <f t="shared" ref="O54:O57" si="41">L54*N54</f>
        <v>1965.22152125</v>
      </c>
      <c r="P54" s="27" t="s">
        <v>2</v>
      </c>
      <c r="Q54" s="100" t="s">
        <v>64</v>
      </c>
    </row>
    <row r="55" ht="52" customHeight="1" spans="1:18">
      <c r="A55" s="20" t="s">
        <v>38</v>
      </c>
      <c r="B55" s="29">
        <v>55.64</v>
      </c>
      <c r="C55" s="30">
        <v>97.84</v>
      </c>
      <c r="D55" s="31">
        <f t="shared" si="35"/>
        <v>42.2</v>
      </c>
      <c r="E55" s="31">
        <v>60</v>
      </c>
      <c r="F55" s="32">
        <f t="shared" si="36"/>
        <v>2532</v>
      </c>
      <c r="G55" s="30">
        <v>4.85</v>
      </c>
      <c r="H55" s="30">
        <v>6.95</v>
      </c>
      <c r="I55" s="32">
        <f t="shared" si="37"/>
        <v>2.1</v>
      </c>
      <c r="J55" s="32">
        <v>100</v>
      </c>
      <c r="K55" s="32">
        <f t="shared" si="38"/>
        <v>210</v>
      </c>
      <c r="L55" s="32">
        <f t="shared" si="39"/>
        <v>2322</v>
      </c>
      <c r="M55" s="17">
        <v>0.95786875</v>
      </c>
      <c r="N55" s="17">
        <f t="shared" si="40"/>
        <v>0.80786875</v>
      </c>
      <c r="O55" s="33">
        <f t="shared" si="41"/>
        <v>1875.8712375</v>
      </c>
      <c r="P55" s="27" t="s">
        <v>3</v>
      </c>
      <c r="Q55" s="34" t="s">
        <v>65</v>
      </c>
    </row>
    <row r="56" ht="52" customHeight="1" spans="1:18">
      <c r="A56" s="20" t="s">
        <v>40</v>
      </c>
      <c r="B56" s="29">
        <v>102.41</v>
      </c>
      <c r="C56" s="30">
        <v>174.04</v>
      </c>
      <c r="D56" s="31">
        <f t="shared" si="35"/>
        <v>71.63</v>
      </c>
      <c r="E56" s="31">
        <v>60</v>
      </c>
      <c r="F56" s="32">
        <f t="shared" si="36"/>
        <v>4297.8</v>
      </c>
      <c r="G56" s="30">
        <v>22.1</v>
      </c>
      <c r="H56" s="30">
        <v>31.26</v>
      </c>
      <c r="I56" s="32">
        <f t="shared" si="37"/>
        <v>9.16</v>
      </c>
      <c r="J56" s="32">
        <v>100</v>
      </c>
      <c r="K56" s="32">
        <f t="shared" si="38"/>
        <v>916</v>
      </c>
      <c r="L56" s="32">
        <f t="shared" si="39"/>
        <v>3381.8</v>
      </c>
      <c r="M56" s="17">
        <v>0.71406875</v>
      </c>
      <c r="N56" s="17">
        <f t="shared" si="40"/>
        <v>0.56406875</v>
      </c>
      <c r="O56" s="33">
        <f t="shared" si="41"/>
        <v>1907.56769875</v>
      </c>
      <c r="P56" s="27" t="s">
        <v>4</v>
      </c>
      <c r="Q56" s="100" t="s">
        <v>63</v>
      </c>
    </row>
    <row r="57" ht="52" customHeight="1" spans="1:18">
      <c r="A57" s="20" t="s">
        <v>41</v>
      </c>
      <c r="B57" s="29">
        <v>3.32</v>
      </c>
      <c r="C57" s="30">
        <v>4.59</v>
      </c>
      <c r="D57" s="31">
        <f t="shared" si="35"/>
        <v>1.27</v>
      </c>
      <c r="E57" s="31">
        <v>60</v>
      </c>
      <c r="F57" s="32">
        <f t="shared" si="36"/>
        <v>76.2</v>
      </c>
      <c r="G57" s="30">
        <v>0.1</v>
      </c>
      <c r="H57" s="30">
        <v>0.14</v>
      </c>
      <c r="I57" s="32">
        <f t="shared" si="37"/>
        <v>0.04</v>
      </c>
      <c r="J57" s="32">
        <v>100</v>
      </c>
      <c r="K57" s="32">
        <f t="shared" si="38"/>
        <v>4</v>
      </c>
      <c r="L57" s="32">
        <f t="shared" si="39"/>
        <v>72.2</v>
      </c>
      <c r="M57" s="17">
        <v>0.22636875</v>
      </c>
      <c r="N57" s="17">
        <f>M57</f>
        <v>0.22636875</v>
      </c>
      <c r="O57" s="33">
        <f t="shared" si="41"/>
        <v>16.34382375</v>
      </c>
      <c r="P57" s="27" t="s">
        <v>5</v>
      </c>
      <c r="Q57" s="69" t="s">
        <v>66</v>
      </c>
    </row>
    <row r="58" customFormat="1" ht="52" customHeight="1" spans="1:18">
      <c r="A58" s="20" t="s">
        <v>43</v>
      </c>
      <c r="B58" s="29">
        <v>218.8</v>
      </c>
      <c r="C58" s="30">
        <v>377.96</v>
      </c>
      <c r="D58" s="31">
        <f t="shared" si="35"/>
        <v>159.16</v>
      </c>
      <c r="E58" s="31">
        <v>60</v>
      </c>
      <c r="F58" s="32">
        <f t="shared" si="36"/>
        <v>9549.6</v>
      </c>
      <c r="G58" s="30">
        <v>32.54</v>
      </c>
      <c r="H58" s="30">
        <v>45.95</v>
      </c>
      <c r="I58" s="32">
        <f t="shared" si="37"/>
        <v>13.41</v>
      </c>
      <c r="J58" s="32">
        <v>100</v>
      </c>
      <c r="K58" s="32">
        <f t="shared" si="38"/>
        <v>1341</v>
      </c>
      <c r="L58" s="32">
        <f t="shared" si="39"/>
        <v>8208.6</v>
      </c>
      <c r="M58" s="58"/>
      <c r="N58" s="45"/>
      <c r="O58" s="33">
        <f>SUM(O54:O57)</f>
        <v>5765.00428125</v>
      </c>
      <c r="P58" s="73"/>
    </row>
    <row r="59" customFormat="1" ht="37" customHeight="1" spans="1:18">
      <c r="A59" s="59" t="s">
        <v>44</v>
      </c>
      <c r="B59" s="60"/>
      <c r="C59" s="61"/>
      <c r="D59" s="60"/>
      <c r="E59" s="61"/>
      <c r="F59" s="62"/>
      <c r="G59" s="62"/>
      <c r="H59" s="62"/>
      <c r="I59" s="63"/>
      <c r="J59" s="63"/>
      <c r="K59" s="64"/>
      <c r="L59" s="64"/>
      <c r="M59" s="65" t="s">
        <v>45</v>
      </c>
      <c r="N59" s="65"/>
      <c r="O59" s="66" t="s">
        <v>46</v>
      </c>
    </row>
    <row r="60" customFormat="1" ht="37" customHeight="1" spans="1:18">
      <c r="A60" s="59"/>
      <c r="B60" s="60"/>
      <c r="C60" s="61"/>
      <c r="D60" s="60"/>
      <c r="E60" s="61"/>
      <c r="F60" s="62"/>
      <c r="G60" s="62"/>
      <c r="H60" s="62"/>
      <c r="I60" s="63"/>
      <c r="J60" s="63"/>
      <c r="K60" s="64"/>
      <c r="L60" s="64"/>
      <c r="M60" s="67"/>
      <c r="N60" s="65"/>
      <c r="O60" s="66"/>
    </row>
    <row r="61" customFormat="1" customHeight="1" spans="1:18">
      <c r="A61" s="3" t="s">
        <v>23</v>
      </c>
      <c r="B61" s="4"/>
      <c r="C61" s="4"/>
      <c r="D61" s="4"/>
      <c r="E61" s="4"/>
      <c r="F61" s="5"/>
      <c r="G61" s="5"/>
      <c r="H61" s="5"/>
      <c r="I61" s="6"/>
      <c r="J61" s="6"/>
      <c r="K61" s="6"/>
      <c r="L61" s="6"/>
      <c r="M61" s="7"/>
      <c r="N61" s="6"/>
      <c r="O61" s="6"/>
      <c r="P61" s="3"/>
    </row>
    <row r="62" customFormat="1" customHeight="1" spans="1:18">
      <c r="A62" s="8" t="s">
        <v>24</v>
      </c>
      <c r="B62" s="9"/>
      <c r="C62" s="9"/>
      <c r="D62" s="9"/>
      <c r="E62" s="9"/>
      <c r="F62" s="10"/>
      <c r="G62" s="11" t="s">
        <v>25</v>
      </c>
      <c r="H62" s="12"/>
      <c r="I62" s="13"/>
      <c r="J62" s="13"/>
      <c r="K62" s="14"/>
      <c r="L62" s="15" t="s">
        <v>26</v>
      </c>
      <c r="M62" s="16"/>
      <c r="N62" s="17"/>
      <c r="O62" s="18"/>
      <c r="P62" s="19"/>
    </row>
    <row r="63" customFormat="1" ht="52" customHeight="1" spans="1:18">
      <c r="A63" s="70" t="s">
        <v>27</v>
      </c>
      <c r="B63" s="71" t="s">
        <v>28</v>
      </c>
      <c r="C63" s="21" t="s">
        <v>29</v>
      </c>
      <c r="D63" s="71" t="s">
        <v>30</v>
      </c>
      <c r="E63" s="21" t="s">
        <v>31</v>
      </c>
      <c r="F63" s="22" t="s">
        <v>6</v>
      </c>
      <c r="G63" s="22" t="s">
        <v>28</v>
      </c>
      <c r="H63" s="22" t="s">
        <v>29</v>
      </c>
      <c r="I63" s="23" t="s">
        <v>30</v>
      </c>
      <c r="J63" s="23" t="s">
        <v>31</v>
      </c>
      <c r="K63" s="26" t="s">
        <v>7</v>
      </c>
      <c r="L63" s="72" t="s">
        <v>8</v>
      </c>
      <c r="M63" s="25" t="s">
        <v>32</v>
      </c>
      <c r="N63" s="25" t="s">
        <v>33</v>
      </c>
      <c r="O63" s="26" t="s">
        <v>9</v>
      </c>
      <c r="P63" s="27" t="s">
        <v>1</v>
      </c>
      <c r="Q63" s="100" t="s">
        <v>67</v>
      </c>
      <c r="R63" s="28"/>
    </row>
    <row r="64" ht="52" customHeight="1" spans="1:18">
      <c r="A64" s="20" t="s">
        <v>36</v>
      </c>
      <c r="B64" s="29">
        <v>59.89</v>
      </c>
      <c r="C64" s="30">
        <v>100.93</v>
      </c>
      <c r="D64" s="31">
        <f t="shared" ref="D64:D68" si="42">C64-B64</f>
        <v>41.04</v>
      </c>
      <c r="E64" s="31">
        <v>100</v>
      </c>
      <c r="F64" s="32">
        <f t="shared" ref="F64:F68" si="43">D64*E64</f>
        <v>4104</v>
      </c>
      <c r="G64" s="30">
        <v>23.31</v>
      </c>
      <c r="H64" s="30">
        <v>33.2</v>
      </c>
      <c r="I64" s="32">
        <f t="shared" ref="I64:I68" si="44">H64-G64</f>
        <v>9.89</v>
      </c>
      <c r="J64" s="32">
        <v>100</v>
      </c>
      <c r="K64" s="32">
        <f t="shared" ref="K64:K68" si="45">I64*J64</f>
        <v>989</v>
      </c>
      <c r="L64" s="32">
        <f t="shared" ref="L64:L68" si="46">F64-K64</f>
        <v>3115</v>
      </c>
      <c r="M64" s="17">
        <v>0.95786875</v>
      </c>
      <c r="N64" s="17">
        <f t="shared" ref="N64:N66" si="47">M64-0.15</f>
        <v>0.80786875</v>
      </c>
      <c r="O64" s="33">
        <f t="shared" ref="O64:O67" si="48">L64*N64</f>
        <v>2516.51115625</v>
      </c>
      <c r="P64" s="27" t="s">
        <v>2</v>
      </c>
      <c r="Q64" s="100" t="s">
        <v>68</v>
      </c>
    </row>
    <row r="65" ht="52" customHeight="1" spans="1:18">
      <c r="A65" s="20" t="s">
        <v>38</v>
      </c>
      <c r="B65" s="29">
        <v>58.08</v>
      </c>
      <c r="C65" s="30">
        <v>100.15</v>
      </c>
      <c r="D65" s="31">
        <f t="shared" si="42"/>
        <v>42.07</v>
      </c>
      <c r="E65" s="31">
        <v>100</v>
      </c>
      <c r="F65" s="32">
        <f t="shared" si="43"/>
        <v>4207</v>
      </c>
      <c r="G65" s="30">
        <v>22.14</v>
      </c>
      <c r="H65" s="30">
        <v>30.56</v>
      </c>
      <c r="I65" s="32">
        <f t="shared" si="44"/>
        <v>8.42</v>
      </c>
      <c r="J65" s="32">
        <v>100</v>
      </c>
      <c r="K65" s="32">
        <f t="shared" si="45"/>
        <v>842</v>
      </c>
      <c r="L65" s="32">
        <f t="shared" si="46"/>
        <v>3365</v>
      </c>
      <c r="M65" s="17">
        <v>0.95786875</v>
      </c>
      <c r="N65" s="17">
        <f t="shared" si="47"/>
        <v>0.80786875</v>
      </c>
      <c r="O65" s="33">
        <f t="shared" si="48"/>
        <v>2718.47834375</v>
      </c>
      <c r="P65" s="27" t="s">
        <v>3</v>
      </c>
      <c r="Q65" s="34" t="s">
        <v>69</v>
      </c>
    </row>
    <row r="66" ht="52" customHeight="1" spans="1:18">
      <c r="A66" s="20" t="s">
        <v>40</v>
      </c>
      <c r="B66" s="29">
        <v>115.31</v>
      </c>
      <c r="C66" s="30">
        <v>195.01</v>
      </c>
      <c r="D66" s="31">
        <f t="shared" si="42"/>
        <v>79.7</v>
      </c>
      <c r="E66" s="31">
        <v>100</v>
      </c>
      <c r="F66" s="32">
        <f t="shared" si="43"/>
        <v>7970</v>
      </c>
      <c r="G66" s="30">
        <v>59.27</v>
      </c>
      <c r="H66" s="30">
        <v>89.85</v>
      </c>
      <c r="I66" s="32">
        <f t="shared" si="44"/>
        <v>30.58</v>
      </c>
      <c r="J66" s="32">
        <v>100</v>
      </c>
      <c r="K66" s="32">
        <f t="shared" si="45"/>
        <v>3058</v>
      </c>
      <c r="L66" s="32">
        <f t="shared" si="46"/>
        <v>4912</v>
      </c>
      <c r="M66" s="17">
        <v>0.71406875</v>
      </c>
      <c r="N66" s="17">
        <f t="shared" si="47"/>
        <v>0.56406875</v>
      </c>
      <c r="O66" s="33">
        <f t="shared" si="48"/>
        <v>2770.7057</v>
      </c>
      <c r="P66" s="27" t="s">
        <v>4</v>
      </c>
      <c r="Q66" s="100" t="s">
        <v>67</v>
      </c>
    </row>
    <row r="67" ht="52" customHeight="1" spans="1:18">
      <c r="A67" s="20" t="s">
        <v>41</v>
      </c>
      <c r="B67" s="29">
        <v>3.33</v>
      </c>
      <c r="C67" s="30">
        <v>4.61</v>
      </c>
      <c r="D67" s="31">
        <f t="shared" si="42"/>
        <v>1.28</v>
      </c>
      <c r="E67" s="31">
        <v>100</v>
      </c>
      <c r="F67" s="32">
        <f t="shared" si="43"/>
        <v>128</v>
      </c>
      <c r="G67" s="30">
        <v>0.09</v>
      </c>
      <c r="H67" s="30">
        <v>0.09</v>
      </c>
      <c r="I67" s="32">
        <f t="shared" si="44"/>
        <v>0</v>
      </c>
      <c r="J67" s="32">
        <v>100</v>
      </c>
      <c r="K67" s="32">
        <f t="shared" si="45"/>
        <v>0</v>
      </c>
      <c r="L67" s="32">
        <f t="shared" si="46"/>
        <v>128</v>
      </c>
      <c r="M67" s="17">
        <v>0.22636875</v>
      </c>
      <c r="N67" s="17">
        <f>M67</f>
        <v>0.22636875</v>
      </c>
      <c r="O67" s="33">
        <f t="shared" si="48"/>
        <v>28.9752</v>
      </c>
      <c r="P67" s="27" t="s">
        <v>5</v>
      </c>
      <c r="Q67" s="69" t="s">
        <v>70</v>
      </c>
    </row>
    <row r="68" customFormat="1" ht="52" customHeight="1" spans="1:18">
      <c r="A68" s="20" t="s">
        <v>43</v>
      </c>
      <c r="B68" s="29">
        <v>236.63</v>
      </c>
      <c r="C68" s="30">
        <v>400.71</v>
      </c>
      <c r="D68" s="31">
        <f t="shared" si="42"/>
        <v>164.08</v>
      </c>
      <c r="E68" s="31">
        <v>100</v>
      </c>
      <c r="F68" s="32">
        <f t="shared" si="43"/>
        <v>16408</v>
      </c>
      <c r="G68" s="30">
        <v>104.82</v>
      </c>
      <c r="H68" s="30">
        <v>153.71</v>
      </c>
      <c r="I68" s="32">
        <f t="shared" si="44"/>
        <v>48.89</v>
      </c>
      <c r="J68" s="32">
        <v>100</v>
      </c>
      <c r="K68" s="32">
        <f t="shared" si="45"/>
        <v>4889</v>
      </c>
      <c r="L68" s="32">
        <f t="shared" si="46"/>
        <v>11519</v>
      </c>
      <c r="M68" s="58"/>
      <c r="N68" s="45"/>
      <c r="O68" s="33">
        <f>SUM(O64:O67)</f>
        <v>8034.6704</v>
      </c>
      <c r="P68" s="73"/>
    </row>
    <row r="69" customFormat="1" ht="37" customHeight="1" spans="1:18">
      <c r="A69" s="59" t="s">
        <v>44</v>
      </c>
      <c r="B69" s="60"/>
      <c r="C69" s="61"/>
      <c r="D69" s="60"/>
      <c r="E69" s="61"/>
      <c r="F69" s="62"/>
      <c r="G69" s="62"/>
      <c r="H69" s="62"/>
      <c r="I69" s="63"/>
      <c r="J69" s="63"/>
      <c r="K69" s="64"/>
      <c r="L69" s="64"/>
      <c r="M69" s="65" t="s">
        <v>45</v>
      </c>
      <c r="N69" s="65"/>
      <c r="O69" s="66" t="s">
        <v>46</v>
      </c>
    </row>
    <row r="70" customFormat="1" ht="37" customHeight="1" spans="1:18">
      <c r="A70" s="59"/>
      <c r="B70" s="60"/>
      <c r="C70" s="61"/>
      <c r="D70" s="60"/>
      <c r="E70" s="61"/>
      <c r="F70" s="62"/>
      <c r="G70" s="62"/>
      <c r="H70" s="62"/>
      <c r="I70" s="63"/>
      <c r="J70" s="63"/>
      <c r="K70" s="64"/>
      <c r="L70" s="64"/>
      <c r="M70" s="67"/>
      <c r="N70" s="65"/>
      <c r="O70" s="66"/>
    </row>
    <row r="71" customFormat="1" customHeight="1" spans="1:18">
      <c r="A71" s="3" t="s">
        <v>23</v>
      </c>
      <c r="B71" s="4"/>
      <c r="C71" s="4"/>
      <c r="D71" s="4"/>
      <c r="E71" s="4"/>
      <c r="F71" s="5"/>
      <c r="G71" s="5"/>
      <c r="H71" s="5"/>
      <c r="I71" s="6"/>
      <c r="J71" s="6"/>
      <c r="K71" s="6"/>
      <c r="L71" s="6"/>
      <c r="M71" s="7"/>
      <c r="N71" s="6"/>
      <c r="O71" s="6"/>
      <c r="P71" s="3"/>
    </row>
    <row r="72" customFormat="1" customHeight="1" spans="1:18">
      <c r="A72" s="8" t="s">
        <v>24</v>
      </c>
      <c r="B72" s="9"/>
      <c r="C72" s="9"/>
      <c r="D72" s="9"/>
      <c r="E72" s="9"/>
      <c r="F72" s="10"/>
      <c r="G72" s="11" t="s">
        <v>25</v>
      </c>
      <c r="H72" s="12"/>
      <c r="I72" s="13"/>
      <c r="J72" s="13"/>
      <c r="K72" s="14"/>
      <c r="L72" s="15" t="s">
        <v>26</v>
      </c>
      <c r="M72" s="16"/>
      <c r="N72" s="17"/>
      <c r="O72" s="18"/>
      <c r="P72" s="19"/>
    </row>
    <row r="73" customFormat="1" ht="52" customHeight="1" spans="1:18">
      <c r="A73" s="70" t="s">
        <v>27</v>
      </c>
      <c r="B73" s="71" t="s">
        <v>28</v>
      </c>
      <c r="C73" s="21" t="s">
        <v>29</v>
      </c>
      <c r="D73" s="71" t="s">
        <v>30</v>
      </c>
      <c r="E73" s="21" t="s">
        <v>31</v>
      </c>
      <c r="F73" s="22" t="s">
        <v>6</v>
      </c>
      <c r="G73" s="22" t="s">
        <v>28</v>
      </c>
      <c r="H73" s="22" t="s">
        <v>29</v>
      </c>
      <c r="I73" s="23" t="s">
        <v>30</v>
      </c>
      <c r="J73" s="23" t="s">
        <v>31</v>
      </c>
      <c r="K73" s="26" t="s">
        <v>7</v>
      </c>
      <c r="L73" s="72" t="s">
        <v>8</v>
      </c>
      <c r="M73" s="25" t="s">
        <v>32</v>
      </c>
      <c r="N73" s="25" t="s">
        <v>33</v>
      </c>
      <c r="O73" s="26" t="s">
        <v>9</v>
      </c>
      <c r="P73" s="27" t="s">
        <v>1</v>
      </c>
      <c r="Q73" s="100" t="s">
        <v>71</v>
      </c>
      <c r="R73" s="28"/>
    </row>
    <row r="74" ht="52" customHeight="1" spans="1:18">
      <c r="A74" s="20" t="s">
        <v>36</v>
      </c>
      <c r="B74" s="29">
        <v>893.57</v>
      </c>
      <c r="C74" s="30">
        <v>1430.97</v>
      </c>
      <c r="D74" s="31">
        <f t="shared" ref="D74:D78" si="49">C74-B74</f>
        <v>537.4</v>
      </c>
      <c r="E74" s="31">
        <v>1</v>
      </c>
      <c r="F74" s="32">
        <f t="shared" ref="F74:F78" si="50">D74*E74</f>
        <v>537.4</v>
      </c>
      <c r="G74" s="30">
        <v>0.96</v>
      </c>
      <c r="H74" s="30">
        <v>3.49</v>
      </c>
      <c r="I74" s="32">
        <f t="shared" ref="I74:I78" si="51">H74-G74</f>
        <v>2.53</v>
      </c>
      <c r="J74" s="32">
        <v>60</v>
      </c>
      <c r="K74" s="32">
        <f t="shared" ref="K74:K78" si="52">I74*J74</f>
        <v>151.8</v>
      </c>
      <c r="L74" s="32">
        <f t="shared" ref="L74:L78" si="53">F74-K74</f>
        <v>385.6</v>
      </c>
      <c r="M74" s="17">
        <v>0.95786875</v>
      </c>
      <c r="N74" s="17">
        <f t="shared" ref="N74:N76" si="54">M74-0.15</f>
        <v>0.80786875</v>
      </c>
      <c r="O74" s="33">
        <f t="shared" ref="O74:O77" si="55">L74*N74</f>
        <v>311.51419</v>
      </c>
      <c r="P74" s="27" t="s">
        <v>2</v>
      </c>
      <c r="Q74" s="100" t="s">
        <v>72</v>
      </c>
    </row>
    <row r="75" ht="52" customHeight="1" spans="1:18">
      <c r="A75" s="20" t="s">
        <v>38</v>
      </c>
      <c r="B75" s="29">
        <v>889.82</v>
      </c>
      <c r="C75" s="30">
        <v>1403.8</v>
      </c>
      <c r="D75" s="31">
        <f t="shared" si="49"/>
        <v>513.98</v>
      </c>
      <c r="E75" s="31">
        <v>1</v>
      </c>
      <c r="F75" s="32">
        <f t="shared" si="50"/>
        <v>513.98</v>
      </c>
      <c r="G75" s="30">
        <v>0.91</v>
      </c>
      <c r="H75" s="30">
        <v>3.44</v>
      </c>
      <c r="I75" s="32">
        <f t="shared" si="51"/>
        <v>2.53</v>
      </c>
      <c r="J75" s="32">
        <v>60</v>
      </c>
      <c r="K75" s="32">
        <f t="shared" si="52"/>
        <v>151.8</v>
      </c>
      <c r="L75" s="32">
        <f t="shared" si="53"/>
        <v>362.18</v>
      </c>
      <c r="M75" s="17">
        <v>0.95786875</v>
      </c>
      <c r="N75" s="17">
        <f t="shared" si="54"/>
        <v>0.80786875</v>
      </c>
      <c r="O75" s="33">
        <f t="shared" si="55"/>
        <v>292.593903875</v>
      </c>
      <c r="P75" s="27" t="s">
        <v>3</v>
      </c>
      <c r="Q75" s="34" t="s">
        <v>73</v>
      </c>
    </row>
    <row r="76" ht="52" customHeight="1" spans="1:18">
      <c r="A76" s="20" t="s">
        <v>40</v>
      </c>
      <c r="B76" s="29">
        <v>1663.61</v>
      </c>
      <c r="C76" s="30">
        <v>2571.47</v>
      </c>
      <c r="D76" s="31">
        <f t="shared" si="49"/>
        <v>907.86</v>
      </c>
      <c r="E76" s="31">
        <v>1</v>
      </c>
      <c r="F76" s="32">
        <f t="shared" si="50"/>
        <v>907.86</v>
      </c>
      <c r="G76" s="30">
        <v>5.58</v>
      </c>
      <c r="H76" s="30">
        <v>12.03</v>
      </c>
      <c r="I76" s="32">
        <f t="shared" si="51"/>
        <v>6.45</v>
      </c>
      <c r="J76" s="32">
        <v>60</v>
      </c>
      <c r="K76" s="32">
        <f t="shared" si="52"/>
        <v>387</v>
      </c>
      <c r="L76" s="32">
        <f t="shared" si="53"/>
        <v>520.86</v>
      </c>
      <c r="M76" s="17">
        <v>0.71406875</v>
      </c>
      <c r="N76" s="17">
        <f t="shared" si="54"/>
        <v>0.56406875</v>
      </c>
      <c r="O76" s="33">
        <f t="shared" si="55"/>
        <v>293.800849125</v>
      </c>
      <c r="P76" s="27" t="s">
        <v>4</v>
      </c>
      <c r="Q76" s="100" t="s">
        <v>71</v>
      </c>
    </row>
    <row r="77" ht="52" customHeight="1" spans="1:18">
      <c r="A77" s="20" t="s">
        <v>41</v>
      </c>
      <c r="B77" s="29">
        <v>48.41</v>
      </c>
      <c r="C77" s="30">
        <v>61.91</v>
      </c>
      <c r="D77" s="31">
        <f t="shared" si="49"/>
        <v>13.5</v>
      </c>
      <c r="E77" s="31">
        <v>1</v>
      </c>
      <c r="F77" s="32">
        <f t="shared" si="50"/>
        <v>13.5</v>
      </c>
      <c r="G77" s="30">
        <v>0.29</v>
      </c>
      <c r="H77" s="30">
        <v>0.36</v>
      </c>
      <c r="I77" s="32">
        <f t="shared" si="51"/>
        <v>0.07</v>
      </c>
      <c r="J77" s="32">
        <v>60</v>
      </c>
      <c r="K77" s="32">
        <f t="shared" si="52"/>
        <v>4.2</v>
      </c>
      <c r="L77" s="32">
        <f t="shared" si="53"/>
        <v>9.3</v>
      </c>
      <c r="M77" s="17">
        <v>0.22636875</v>
      </c>
      <c r="N77" s="17">
        <f>M77</f>
        <v>0.22636875</v>
      </c>
      <c r="O77" s="33">
        <f t="shared" si="55"/>
        <v>2.105229375</v>
      </c>
      <c r="P77" s="27" t="s">
        <v>5</v>
      </c>
      <c r="Q77" s="69" t="s">
        <v>74</v>
      </c>
    </row>
    <row r="78" customFormat="1" ht="52" customHeight="1" spans="1:18">
      <c r="A78" s="20" t="s">
        <v>43</v>
      </c>
      <c r="B78" s="29">
        <v>3495.41</v>
      </c>
      <c r="C78" s="30">
        <v>5468.16</v>
      </c>
      <c r="D78" s="31">
        <f t="shared" si="49"/>
        <v>1972.75</v>
      </c>
      <c r="E78" s="31">
        <v>1</v>
      </c>
      <c r="F78" s="32">
        <f t="shared" si="50"/>
        <v>1972.75</v>
      </c>
      <c r="G78" s="30">
        <v>7.76</v>
      </c>
      <c r="H78" s="30">
        <v>19.33</v>
      </c>
      <c r="I78" s="32">
        <f t="shared" si="51"/>
        <v>11.57</v>
      </c>
      <c r="J78" s="32">
        <v>60</v>
      </c>
      <c r="K78" s="32">
        <f t="shared" si="52"/>
        <v>694.2</v>
      </c>
      <c r="L78" s="32">
        <f t="shared" si="53"/>
        <v>1278.55</v>
      </c>
      <c r="M78" s="58"/>
      <c r="N78" s="45"/>
      <c r="O78" s="33">
        <f>SUM(O74:O77)</f>
        <v>900.014172375</v>
      </c>
      <c r="P78" s="73"/>
    </row>
    <row r="79" customFormat="1" ht="37" customHeight="1" spans="1:18">
      <c r="A79" s="59" t="s">
        <v>44</v>
      </c>
      <c r="B79" s="60"/>
      <c r="C79" s="61"/>
      <c r="D79" s="60"/>
      <c r="E79" s="61"/>
      <c r="F79" s="62"/>
      <c r="G79" s="62"/>
      <c r="H79" s="62"/>
      <c r="I79" s="63"/>
      <c r="J79" s="63"/>
      <c r="K79" s="64"/>
      <c r="L79" s="64"/>
      <c r="M79" s="65" t="s">
        <v>45</v>
      </c>
      <c r="N79" s="65"/>
      <c r="O79" s="66" t="s">
        <v>46</v>
      </c>
    </row>
    <row r="80" customFormat="1" ht="37" customHeight="1" spans="1:18">
      <c r="A80" s="59"/>
      <c r="B80" s="60"/>
      <c r="C80" s="61"/>
      <c r="D80" s="60"/>
      <c r="E80" s="61"/>
      <c r="F80" s="62"/>
      <c r="G80" s="62"/>
      <c r="H80" s="62"/>
      <c r="I80" s="63"/>
      <c r="J80" s="63"/>
      <c r="K80" s="64"/>
      <c r="L80" s="64"/>
      <c r="M80" s="67"/>
      <c r="N80" s="65"/>
      <c r="O80" s="66"/>
    </row>
    <row r="81" customFormat="1" customHeight="1" spans="1:18">
      <c r="A81" s="3" t="s">
        <v>23</v>
      </c>
      <c r="B81" s="4"/>
      <c r="C81" s="4"/>
      <c r="D81" s="4"/>
      <c r="E81" s="4"/>
      <c r="F81" s="5"/>
      <c r="G81" s="5"/>
      <c r="H81" s="5"/>
      <c r="I81" s="6"/>
      <c r="J81" s="6"/>
      <c r="K81" s="6"/>
      <c r="L81" s="6"/>
      <c r="M81" s="7"/>
      <c r="N81" s="6"/>
      <c r="O81" s="6"/>
      <c r="P81" s="3"/>
    </row>
    <row r="82" customFormat="1" customHeight="1" spans="1:18">
      <c r="A82" s="8" t="s">
        <v>24</v>
      </c>
      <c r="B82" s="9"/>
      <c r="C82" s="9"/>
      <c r="D82" s="9"/>
      <c r="E82" s="9"/>
      <c r="F82" s="10"/>
      <c r="G82" s="11" t="s">
        <v>25</v>
      </c>
      <c r="H82" s="12"/>
      <c r="I82" s="13"/>
      <c r="J82" s="13"/>
      <c r="K82" s="14"/>
      <c r="L82" s="15" t="s">
        <v>26</v>
      </c>
      <c r="M82" s="16"/>
      <c r="N82" s="17"/>
      <c r="O82" s="18"/>
      <c r="P82" s="19"/>
    </row>
    <row r="83" customFormat="1" ht="52" customHeight="1" spans="1:18">
      <c r="A83" s="70" t="s">
        <v>27</v>
      </c>
      <c r="B83" s="71" t="s">
        <v>28</v>
      </c>
      <c r="C83" s="21" t="s">
        <v>29</v>
      </c>
      <c r="D83" s="71" t="s">
        <v>30</v>
      </c>
      <c r="E83" s="21" t="s">
        <v>31</v>
      </c>
      <c r="F83" s="22" t="s">
        <v>6</v>
      </c>
      <c r="G83" s="22" t="s">
        <v>28</v>
      </c>
      <c r="H83" s="22" t="s">
        <v>29</v>
      </c>
      <c r="I83" s="23" t="s">
        <v>30</v>
      </c>
      <c r="J83" s="23" t="s">
        <v>31</v>
      </c>
      <c r="K83" s="26" t="s">
        <v>7</v>
      </c>
      <c r="L83" s="72" t="s">
        <v>8</v>
      </c>
      <c r="M83" s="25" t="s">
        <v>32</v>
      </c>
      <c r="N83" s="25" t="s">
        <v>33</v>
      </c>
      <c r="O83" s="26" t="s">
        <v>9</v>
      </c>
      <c r="P83" s="27" t="s">
        <v>1</v>
      </c>
      <c r="Q83" s="100" t="s">
        <v>75</v>
      </c>
      <c r="R83" s="28"/>
    </row>
    <row r="84" ht="52" customHeight="1" spans="1:18">
      <c r="A84" s="20" t="s">
        <v>36</v>
      </c>
      <c r="B84" s="29">
        <v>59.36</v>
      </c>
      <c r="C84" s="30">
        <v>101.42</v>
      </c>
      <c r="D84" s="31">
        <f t="shared" ref="D84:D88" si="56">C84-B84</f>
        <v>42.06</v>
      </c>
      <c r="E84" s="31">
        <v>60</v>
      </c>
      <c r="F84" s="32">
        <f t="shared" ref="F84:F88" si="57">D84*E84</f>
        <v>2523.6</v>
      </c>
      <c r="G84" s="30">
        <v>9.76</v>
      </c>
      <c r="H84" s="30">
        <v>18.17</v>
      </c>
      <c r="I84" s="32">
        <f t="shared" ref="I84:I88" si="58">H84-G84</f>
        <v>8.41</v>
      </c>
      <c r="J84" s="32">
        <v>100</v>
      </c>
      <c r="K84" s="32">
        <f t="shared" ref="K84:K88" si="59">I84*J84</f>
        <v>841</v>
      </c>
      <c r="L84" s="32">
        <f t="shared" ref="L84:L88" si="60">F84-K84</f>
        <v>1682.6</v>
      </c>
      <c r="M84" s="17">
        <v>0.95786875</v>
      </c>
      <c r="N84" s="17">
        <f t="shared" ref="N84:N86" si="61">M84-0.15</f>
        <v>0.80786875</v>
      </c>
      <c r="O84" s="33">
        <f t="shared" ref="O84:O87" si="62">L84*N84</f>
        <v>1359.31995875</v>
      </c>
      <c r="P84" s="27" t="s">
        <v>2</v>
      </c>
      <c r="Q84" s="100" t="s">
        <v>76</v>
      </c>
    </row>
    <row r="85" ht="52" customHeight="1" spans="1:18">
      <c r="A85" s="20" t="s">
        <v>38</v>
      </c>
      <c r="B85" s="29">
        <v>56.51</v>
      </c>
      <c r="C85" s="30">
        <v>95.44</v>
      </c>
      <c r="D85" s="31">
        <f t="shared" si="56"/>
        <v>38.93</v>
      </c>
      <c r="E85" s="31">
        <v>60</v>
      </c>
      <c r="F85" s="32">
        <f t="shared" si="57"/>
        <v>2335.8</v>
      </c>
      <c r="G85" s="30">
        <v>8.7</v>
      </c>
      <c r="H85" s="30">
        <v>16.74</v>
      </c>
      <c r="I85" s="32">
        <f t="shared" si="58"/>
        <v>8.04</v>
      </c>
      <c r="J85" s="32">
        <v>100</v>
      </c>
      <c r="K85" s="32">
        <f t="shared" si="59"/>
        <v>804</v>
      </c>
      <c r="L85" s="32">
        <f t="shared" si="60"/>
        <v>1531.8</v>
      </c>
      <c r="M85" s="17">
        <v>0.95786875</v>
      </c>
      <c r="N85" s="17">
        <f t="shared" si="61"/>
        <v>0.80786875</v>
      </c>
      <c r="O85" s="33">
        <f t="shared" si="62"/>
        <v>1237.49335125</v>
      </c>
      <c r="P85" s="27" t="s">
        <v>3</v>
      </c>
      <c r="Q85" s="74" t="s">
        <v>77</v>
      </c>
    </row>
    <row r="86" ht="52" customHeight="1" spans="1:18">
      <c r="A86" s="20" t="s">
        <v>40</v>
      </c>
      <c r="B86" s="29">
        <v>100.87</v>
      </c>
      <c r="C86" s="30">
        <v>165.76</v>
      </c>
      <c r="D86" s="31">
        <f t="shared" si="56"/>
        <v>64.89</v>
      </c>
      <c r="E86" s="31">
        <v>60</v>
      </c>
      <c r="F86" s="32">
        <f t="shared" si="57"/>
        <v>3893.4</v>
      </c>
      <c r="G86" s="30">
        <v>29.19</v>
      </c>
      <c r="H86" s="30">
        <v>50.54</v>
      </c>
      <c r="I86" s="32">
        <f t="shared" si="58"/>
        <v>21.35</v>
      </c>
      <c r="J86" s="32">
        <v>100</v>
      </c>
      <c r="K86" s="32">
        <f t="shared" si="59"/>
        <v>2135</v>
      </c>
      <c r="L86" s="32">
        <f t="shared" si="60"/>
        <v>1758.4</v>
      </c>
      <c r="M86" s="17">
        <v>0.71406875</v>
      </c>
      <c r="N86" s="17">
        <f t="shared" si="61"/>
        <v>0.56406875</v>
      </c>
      <c r="O86" s="33">
        <f t="shared" si="62"/>
        <v>991.85849</v>
      </c>
      <c r="P86" s="27" t="s">
        <v>4</v>
      </c>
      <c r="Q86" s="100" t="s">
        <v>75</v>
      </c>
    </row>
    <row r="87" ht="52" customHeight="1" spans="1:18">
      <c r="A87" s="20" t="s">
        <v>41</v>
      </c>
      <c r="B87" s="29">
        <v>2.97</v>
      </c>
      <c r="C87" s="30">
        <v>4.05</v>
      </c>
      <c r="D87" s="31">
        <f t="shared" si="56"/>
        <v>1.08</v>
      </c>
      <c r="E87" s="31">
        <v>60</v>
      </c>
      <c r="F87" s="32">
        <f t="shared" si="57"/>
        <v>64.8</v>
      </c>
      <c r="G87" s="30">
        <v>0.7</v>
      </c>
      <c r="H87" s="30">
        <v>0.92</v>
      </c>
      <c r="I87" s="32">
        <f t="shared" si="58"/>
        <v>0.22</v>
      </c>
      <c r="J87" s="32">
        <v>100</v>
      </c>
      <c r="K87" s="32">
        <f t="shared" si="59"/>
        <v>22</v>
      </c>
      <c r="L87" s="32">
        <f t="shared" si="60"/>
        <v>42.8</v>
      </c>
      <c r="M87" s="17">
        <v>0.22636875</v>
      </c>
      <c r="N87" s="17">
        <f>M87</f>
        <v>0.22636875</v>
      </c>
      <c r="O87" s="33">
        <f t="shared" si="62"/>
        <v>9.6885825</v>
      </c>
      <c r="P87" s="27" t="s">
        <v>5</v>
      </c>
      <c r="Q87" s="69" t="s">
        <v>78</v>
      </c>
    </row>
    <row r="88" customFormat="1" ht="52" customHeight="1" spans="1:18">
      <c r="A88" s="20" t="s">
        <v>43</v>
      </c>
      <c r="B88" s="29">
        <v>219.72</v>
      </c>
      <c r="C88" s="30">
        <v>366.68</v>
      </c>
      <c r="D88" s="31">
        <f t="shared" si="56"/>
        <v>146.96</v>
      </c>
      <c r="E88" s="31">
        <v>60</v>
      </c>
      <c r="F88" s="32">
        <f t="shared" si="57"/>
        <v>8817.6</v>
      </c>
      <c r="G88" s="30">
        <v>48.35</v>
      </c>
      <c r="H88" s="30">
        <v>86.39</v>
      </c>
      <c r="I88" s="32">
        <f t="shared" si="58"/>
        <v>38.04</v>
      </c>
      <c r="J88" s="32">
        <v>100</v>
      </c>
      <c r="K88" s="32">
        <f t="shared" si="59"/>
        <v>3804</v>
      </c>
      <c r="L88" s="32">
        <f t="shared" si="60"/>
        <v>5013.6</v>
      </c>
      <c r="M88" s="58"/>
      <c r="N88" s="45"/>
      <c r="O88" s="33">
        <f>SUM(O84:O87)</f>
        <v>3598.3603825</v>
      </c>
      <c r="P88" s="73"/>
    </row>
    <row r="89" customFormat="1" ht="19" customHeight="1" spans="1:18">
      <c r="A89" s="75" t="s">
        <v>11</v>
      </c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6">
        <f>O88+O78+O68+O58+O48+O38+O28+O18+O8</f>
        <v>30583.1176430625</v>
      </c>
      <c r="O89" s="77"/>
      <c r="P89" s="78"/>
      <c r="Q89" s="78"/>
    </row>
    <row r="90" customFormat="1" ht="37" customHeight="1" spans="1:18">
      <c r="A90" s="59" t="s">
        <v>44</v>
      </c>
      <c r="B90" s="60"/>
      <c r="C90" s="61"/>
      <c r="D90" s="60"/>
      <c r="E90" s="61"/>
      <c r="F90" s="62"/>
      <c r="G90" s="62"/>
      <c r="H90" s="62"/>
      <c r="I90" s="63"/>
      <c r="J90" s="63"/>
      <c r="K90" s="64"/>
      <c r="L90" s="64"/>
      <c r="M90" s="65" t="s">
        <v>45</v>
      </c>
      <c r="N90" s="65"/>
      <c r="O90" s="66" t="s">
        <v>46</v>
      </c>
    </row>
    <row r="91" customFormat="1" ht="37" customHeight="1" spans="1:18">
      <c r="A91" s="59"/>
      <c r="B91" s="60"/>
      <c r="C91" s="61"/>
      <c r="D91" s="60"/>
      <c r="E91" s="61"/>
      <c r="F91" s="62">
        <f>F88+F78+F68+F58+F48+F38+F28+F18+F8</f>
        <v>76929.33</v>
      </c>
      <c r="G91" s="62"/>
      <c r="H91" s="62"/>
      <c r="I91" s="63"/>
      <c r="J91" s="63"/>
      <c r="K91" s="64"/>
      <c r="L91" s="64"/>
      <c r="M91" s="67"/>
      <c r="N91" s="65"/>
      <c r="O91" s="66"/>
    </row>
    <row r="92" customHeight="1" spans="1:18">
      <c r="F92" s="1">
        <f>F88+F78+F68+F58+F48+F38+F28+F18+F8</f>
        <v>76929.33</v>
      </c>
      <c r="K92">
        <f>K88+K78+K68+K58+K48+K38+K28+K18+K8</f>
        <v>33587</v>
      </c>
      <c r="L92">
        <f>L88+L78+L68+L58+L48+L38+L28+L18+L8</f>
        <v>43342.33</v>
      </c>
      <c r="N92" s="2">
        <f>O88+O78+O68+O58+O48+O38+O28+O18+O8</f>
        <v>30583.1176430625</v>
      </c>
    </row>
  </sheetData>
  <mergeCells count="47">
    <mergeCell ref="A1:P1"/>
    <mergeCell ref="A2:F2"/>
    <mergeCell ref="G2:K2"/>
    <mergeCell ref="L2:O2"/>
    <mergeCell ref="A9:E9"/>
    <mergeCell ref="A11:P11"/>
    <mergeCell ref="A12:F12"/>
    <mergeCell ref="G12:K12"/>
    <mergeCell ref="L12:O12"/>
    <mergeCell ref="A19:E19"/>
    <mergeCell ref="A21:P21"/>
    <mergeCell ref="A22:F22"/>
    <mergeCell ref="G22:K22"/>
    <mergeCell ref="L22:O22"/>
    <mergeCell ref="A29:E29"/>
    <mergeCell ref="A31:P31"/>
    <mergeCell ref="A32:F32"/>
    <mergeCell ref="G32:K32"/>
    <mergeCell ref="L32:O32"/>
    <mergeCell ref="A39:E39"/>
    <mergeCell ref="A41:P41"/>
    <mergeCell ref="A42:F42"/>
    <mergeCell ref="G42:K42"/>
    <mergeCell ref="L42:O42"/>
    <mergeCell ref="A49:E49"/>
    <mergeCell ref="A51:P51"/>
    <mergeCell ref="A52:F52"/>
    <mergeCell ref="G52:K52"/>
    <mergeCell ref="L52:O52"/>
    <mergeCell ref="A59:E59"/>
    <mergeCell ref="A61:P61"/>
    <mergeCell ref="A62:F62"/>
    <mergeCell ref="G62:K62"/>
    <mergeCell ref="L62:O62"/>
    <mergeCell ref="A69:E69"/>
    <mergeCell ref="A71:P71"/>
    <mergeCell ref="A72:F72"/>
    <mergeCell ref="G72:K72"/>
    <mergeCell ref="L72:O72"/>
    <mergeCell ref="A79:E79"/>
    <mergeCell ref="A81:P81"/>
    <mergeCell ref="A82:F82"/>
    <mergeCell ref="G82:K82"/>
    <mergeCell ref="L82:O82"/>
    <mergeCell ref="A89:M89"/>
    <mergeCell ref="N89:Q89"/>
    <mergeCell ref="A90:E90"/>
  </mergeCells>
  <pageMargins left="0.314583333333333" right="0.145138888888889" top="0.724305555555556" bottom="0.747916666666667" header="0.314583333333333" footer="0.314583333333333"/>
  <pageSetup paperSize="9" scale="67" orientation="landscape" horizontalDpi="600"/>
  <headerFooter/>
  <rowBreaks count="8" manualBreakCount="8">
    <brk id="10" max="16383" man="1"/>
    <brk id="20" max="16383" man="1"/>
    <brk id="30" max="16383" man="1"/>
    <brk id="40" max="16" man="1"/>
    <brk id="50" max="16" man="1"/>
    <brk id="60" max="16" man="1"/>
    <brk id="70" max="16" man="1"/>
    <brk id="80" max="16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每月汇总</vt:lpstr>
      <vt:lpstr>202601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曹贤奎</cp:lastModifiedBy>
  <dcterms:created xsi:type="dcterms:W3CDTF">2008-09-11T17:22:00Z</dcterms:created>
  <cp:lastPrinted>2022-11-14T05:54:00Z</cp:lastPrinted>
  <dcterms:modified xsi:type="dcterms:W3CDTF">2026-03-02T09:04:37Z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57A5241268854BA186F1967B6F22089A_13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